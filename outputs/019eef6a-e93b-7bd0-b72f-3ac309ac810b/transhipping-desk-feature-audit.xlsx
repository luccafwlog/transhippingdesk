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42388f47a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dfe1e6e6734499"/>
    <x:sheet xmlns:r="http://schemas.openxmlformats.org/officeDocument/2006/relationships" name="User Stories" sheetId="2" r:id="R057330fdef51499f"/>
    <x:sheet xmlns:r="http://schemas.openxmlformats.org/officeDocument/2006/relationships" name="Defects" sheetId="3" r:id="R57641f8b06a14a5a"/>
    <x:sheet xmlns:r="http://schemas.openxmlformats.org/officeDocument/2006/relationships" name="Test Runs" sheetId="4" r:id="R305526cec0e34ced"/>
    <x:sheet xmlns:r="http://schemas.openxmlformats.org/officeDocument/2006/relationships" name="Lists" sheetId="5" r:id="Rc4aaa4fbdc604ce9"/>
  </x:sheets>
</x:workbook>
</file>

<file path=xl/comments1.xml><?xml version="1.0" encoding="utf-8"?>
<x:comments xmlns:x="http://schemas.openxmlformats.org/spreadsheetml/2006/main">
  <x:authors>
    <x:author>tc={43D39158-D988-6420-73A3-A0F7E2152083}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Seeded from current living module action catalogs. Runtime and automated evidence must be recorded before any story is marked passed.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425466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63A4A"/>
      </x:patternFill>
    </x:fill>
    <x:fill>
      <x:patternFill patternType="solid">
        <x:fgColor rgb="FF16324F"/>
      </x:patternFill>
    </x:fill>
    <x:fill>
      <x:patternFill patternType="solid">
        <x:fgColor rgb="FFE8F0F5"/>
      </x:patternFill>
    </x:fill>
    <x:fill>
      <x:patternFill patternType="solid">
        <x:fgColor rgb="FFC57A32"/>
      </x:patternFill>
    </x:fill>
  </x:fills>
  <x:borders count="18">
    <x:border/>
    <x:border>
      <x:right style="thin">
        <x:color rgb="FFD7DEE3"/>
      </x:right>
      <x:bottom style="thin">
        <x:color rgb="FFD7DEE3"/>
      </x:bottom>
    </x:border>
    <x:border>
      <x:left style="thin">
        <x:color rgb="FFD7DEE3"/>
      </x:left>
      <x:right style="thin">
        <x:color rgb="FFD7DEE3"/>
      </x:right>
      <x:bottom style="thin">
        <x:color rgb="FFD7DEE3"/>
      </x:bottom>
    </x:border>
    <x:border>
      <x:left style="thin">
        <x:color rgb="FFD7DEE3"/>
      </x:left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  <x:right style="thin">
        <x:color rgb="FFD7DEE3"/>
      </x:right>
      <x:top style="thin">
        <x:color rgb="FFD7DEE3"/>
      </x:top>
    </x:border>
    <x:border>
      <x:left style="thin">
        <x:color rgb="FFD7DEE3"/>
      </x:left>
      <x:top style="thin">
        <x:color rgb="FFD7DEE3"/>
      </x:top>
    </x:border>
    <x:border>
      <x:left style="thin">
        <x:color rgb="FFAAB7C2"/>
      </x:left>
      <x:top style="thin">
        <x:color rgb="FFAAB7C2"/>
      </x:top>
    </x:border>
    <x:border>
      <x:right style="thin">
        <x:color rgb="FFAAB7C2"/>
      </x:right>
      <x:top style="thin">
        <x:color rgb="FFAAB7C2"/>
      </x:top>
    </x:border>
    <x:border>
      <x:left style="thin">
        <x:color rgb="FFAAB7C2"/>
      </x:left>
    </x:border>
    <x:border>
      <x:right style="thin">
        <x:color rgb="FFAAB7C2"/>
      </x:right>
    </x:border>
    <x:border>
      <x:left style="thin">
        <x:color rgb="FFAAB7C2"/>
      </x:left>
      <x:bottom style="thin">
        <x:color rgb="FFAAB7C2"/>
      </x:bottom>
    </x:border>
    <x:border>
      <x:right style="thin">
        <x:color rgb="FFAAB7C2"/>
      </x:right>
      <x:bottom style="thin">
        <x:color rgb="FFAAB7C2"/>
      </x:bottom>
    </x:border>
    <x:border>
      <x:top style="thin">
        <x:color rgb="FFAAB7C2"/>
      </x:top>
    </x:border>
    <x:border>
      <x:bottom style="thin">
        <x:color rgb="FFAAB7C2"/>
      </x:bottom>
    </x:border>
  </x:borders>
  <x:cellStyleXfs count="1">
    <x:xf numFmtId="0" fontId="0" fillId="0" borderId="0"/>
  </x:cellStyleXfs>
  <x:cellXfs count="47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1" fillId="2" borderId="10" xfId="0" applyNumberFormat="1" applyFont="1" applyFill="1" applyBorder="1"/>
    <x:xf numFmtId="0" fontId="1" fillId="2" borderId="16" xfId="0" applyNumberFormat="1" applyFont="1" applyFill="1" applyBorder="1"/>
    <x:xf numFmtId="0" fontId="1" fillId="2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45B2A"/>
      </x:font>
      <x:fill>
        <x:patternFill patternType="solid">
          <x:bgColor rgb="FFDDEEDC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245B2A"/>
      </x:font>
      <x:fill>
        <x:patternFill patternType="solid">
          <x:bgColor rgb="FFDDEEDC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6ba37088c4a03" /><Relationship Type="http://schemas.openxmlformats.org/officeDocument/2006/relationships/theme" Target="/xl/theme/theme1.xml" Id="R268e0393c18045dc" /><Relationship Type="http://schemas.openxmlformats.org/officeDocument/2006/relationships/sharedStrings" Target="/xl/sharedStrings.xml" Id="R1b6c3dc28428493d" /><Relationship Type="http://schemas.openxmlformats.org/officeDocument/2006/relationships/worksheet" Target="/xl/worksheets/sheet1.xml" Id="R85dfe1e6e6734499" /><Relationship Type="http://schemas.openxmlformats.org/officeDocument/2006/relationships/worksheet" Target="/xl/worksheets/sheet2.xml" Id="R057330fdef51499f" /><Relationship Type="http://schemas.openxmlformats.org/officeDocument/2006/relationships/worksheet" Target="/xl/worksheets/sheet3.xml" Id="R57641f8b06a14a5a" /><Relationship Type="http://schemas.openxmlformats.org/officeDocument/2006/relationships/worksheet" Target="/xl/worksheets/sheet4.xml" Id="R305526cec0e34ced" /><Relationship Type="http://schemas.openxmlformats.org/officeDocument/2006/relationships/worksheet" Target="/xl/worksheets/sheet5.xml" Id="Rc4aaa4fbdc604ce9" /><Relationship Type="http://schemas.microsoft.com/office/2017/10/relationships/person" Target="/xl/persons/person.xml" Id="Ra61971b93c904c3d" /></Relationships>
</file>

<file path=xl/persons/person.xml><?xml version="1.0" encoding="utf-8"?>
<xltc:personList xmlns:xltc="http://schemas.microsoft.com/office/spreadsheetml/2018/threadedcomments">
  <xltc:person displayName="Lucca" id="{5CCBE885-E262-425E-B5B9-0239817A2831}"/>
</xltc:personList>
</file>

<file path=xl/tables/table1.xml><?xml version="1.0" encoding="utf-8"?>
<x:table xmlns:x="http://schemas.openxmlformats.org/spreadsheetml/2006/main" id="1" name="UserStoriesTable" displayName="UserStoriesTable" ref="A1:W224" headerRowCount="1">
  <x:tableColumns count="23">
    <x:tableColumn id="1" name="Story ID"/>
    <x:tableColumn id="2" name="Module"/>
    <x:tableColumn id="3" name="Surface / Route"/>
    <x:tableColumn id="4" name="Feature / Action"/>
    <x:tableColumn id="5" name="Actor"/>
    <x:tableColumn id="6" name="User Story"/>
    <x:tableColumn id="7" name="Expected Behaviour"/>
    <x:tableColumn id="8" name="Preconditions"/>
    <x:tableColumn id="9" name="Code Origin"/>
    <x:tableColumn id="10" name="Orchestration"/>
    <x:tableColumn id="11" name="Persistence"/>
    <x:tableColumn id="12" name="Observable Effects / Cache"/>
    <x:tableColumn id="13" name="Failure Behaviour"/>
    <x:tableColumn id="14" name="Baseline Evidence"/>
    <x:tableColumn id="15" name="Source Document"/>
    <x:tableColumn id="16" name="Test Type"/>
    <x:tableColumn id="17" name="Initial Test Status"/>
    <x:tableColumn id="18" name="Defect ID"/>
    <x:tableColumn id="19" name="Fix Status"/>
    <x:tableColumn id="20" name="Post-fix Retest"/>
    <x:tableColumn id="21" name="Final Status"/>
    <x:tableColumn id="22" name="Evidence / Command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fectsTable" displayName="DefectsTable" ref="A1:Q63" headerRowCount="1">
  <x:tableColumns count="17">
    <x:tableColumn id="1" name="Defect ID"/>
    <x:tableColumn id="2" name="Story ID"/>
    <x:tableColumn id="3" name="Title"/>
    <x:tableColumn id="4" name="Category"/>
    <x:tableColumn id="5" name="Severity"/>
    <x:tableColumn id="6" name="Status"/>
    <x:tableColumn id="7" name="Environment"/>
    <x:tableColumn id="8" name="Reproduction"/>
    <x:tableColumn id="9" name="Expected"/>
    <x:tableColumn id="10" name="Actual"/>
    <x:tableColumn id="11" name="Evidence"/>
    <x:tableColumn id="12" name="Root Cause"/>
    <x:tableColumn id="13" name="Fix Summary"/>
    <x:tableColumn id="14" name="Focused Test"/>
    <x:tableColumn id="15" name="Post-fix Result"/>
    <x:tableColumn id="16" name="Files Changed"/>
    <x:tableColumn id="17" name="Notes"/>
  </x:tableColumns>
  <x:tableStyleInfo name="TableStyleMedium4" showRowStripes="1"/>
</x:table>
</file>

<file path=xl/tables/table3.xml><?xml version="1.0" encoding="utf-8"?>
<x:table xmlns:x="http://schemas.openxmlformats.org/spreadsheetml/2006/main" id="3" name="TestRunsTable" displayName="TestRunsTable" ref="A1:I40" headerRowCount="1">
  <x:tableColumns count="9">
    <x:tableColumn id="1" name="Run ID"/>
    <x:tableColumn id="2" name="Date"/>
    <x:tableColumn id="3" name="Scope"/>
    <x:tableColumn id="4" name="Environment"/>
    <x:tableColumn id="5" name="Command / Scenario"/>
    <x:tableColumn id="6" name="Result"/>
    <x:tableColumn id="7" name="Evidence"/>
    <x:tableColumn id="8" name="Stories Covered"/>
    <x:tableColumn id="9" name="Notes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6-23T17:21:46.467" personId="{5CCBE885-E262-425E-B5B9-0239817A2831}" id="{43D39158-D988-6420-73A3-A0F7E2152083}">
    <xltc:text>Seeded from current living module action catalogs. Runtime and automated evidence must be recorded before any story is marked passed.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7a55b5f75e44fd3" /><Relationship Type="http://schemas.openxmlformats.org/officeDocument/2006/relationships/vmlDrawing" Target="/xl/drawings/vmldrawing.vml" Id="R310c3c1a339448f3" /><Relationship Type="http://schemas.microsoft.com/office/2017/10/relationships/threadedComment" Target="/xl/threadedcomments/threadedcomment.xml" Id="R2b884027dbdc4b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e0e6f97c304f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c3706c3e45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f4cb10641e4f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34" customHeight="1">
      <x:c r="A1" s="37" t="str">
        <x:v>Transhipping Desk — Feature &amp; User Story Audit</x:v>
      </x:c>
      <x:c r="B1" s="37"/>
      <x:c r="C1" s="37"/>
      <x:c r="D1" s="37"/>
      <x:c r="E1" s="37"/>
      <x:c r="F1" s="37"/>
      <x:c r="G1" s="37"/>
      <x:c r="H1" s="37"/>
    </x:row>
    <x:row r="2" ht="26" customHeight="1">
      <x:c r="A2" s="19" t="str">
        <x:v>Canonical status workbook • code-derived inventory • initial testing • defect fixes • post-fix retest</x:v>
      </x:c>
      <x:c r="B2" s="19"/>
      <x:c r="C2" s="19"/>
      <x:c r="D2" s="19"/>
      <x:c r="E2" s="19"/>
      <x:c r="F2" s="19"/>
      <x:c r="G2" s="19"/>
      <x:c r="H2" s="19"/>
    </x:row>
    <x:row r="4">
      <x:c r="A4" s="22" t="str">
        <x:v>Metric</x:v>
      </x:c>
      <x:c r="B4" s="23" t="str">
        <x:v>Value</x:v>
      </x:c>
      <x:c r="D4" s="38" t="str">
        <x:v>Loop Phase</x:v>
      </x:c>
      <x:c r="E4" s="39" t="str">
        <x:v>Gate</x:v>
      </x:c>
      <x:c r="F4" s="39" t="str">
        <x:v>Current State</x:v>
      </x:c>
      <x:c r="G4" s="39" t="str">
        <x:v>Evidence Rule</x:v>
      </x:c>
      <x:c r="H4" s="40" t="str">
        <x:v>Stop Condition</x:v>
      </x:c>
    </x:row>
    <x:row r="5" ht="32" customHeight="1">
      <x:c r="A5" s="24" t="str">
        <x:v>Total stories</x:v>
      </x:c>
      <x:c r="B5" s="25" t="n">
        <x:f>COUNTA('User Stories'!$A$2:$A$224)</x:f>
        <x:v>223</x:v>
      </x:c>
      <x:c r="D5" s="41" t="str">
        <x:v>1. Inventory</x:v>
      </x:c>
      <x:c r="E5" s="42" t="str">
        <x:v>Every action has a story</x:v>
      </x:c>
      <x:c r="F5" s="42" t="str">
        <x:v>Recorded</x:v>
      </x:c>
      <x:c r="G5" s="42" t="str">
        <x:v>Code + living docs</x:v>
      </x:c>
      <x:c r="H5" s="43" t="str">
        <x:v>No uncatalogued action</x:v>
      </x:c>
    </x:row>
    <x:row r="6" ht="32" customHeight="1">
      <x:c r="A6" s="24" t="str">
        <x:v>Passed</x:v>
      </x:c>
      <x:c r="B6" s="25" t="n">
        <x:f>COUNTIF('User Stories'!$U$2:$U$224,"Passed")</x:f>
        <x:v>223</x:v>
      </x:c>
      <x:c r="D6" s="41" t="str">
        <x:v>2. Initial test</x:v>
      </x:c>
      <x:c r="E6" s="42" t="str">
        <x:v>Every story has a result</x:v>
      </x:c>
      <x:c r="F6" s="42" t="str">
        <x:v>Recorded</x:v>
      </x:c>
      <x:c r="G6" s="42" t="str">
        <x:v>Automated or runtime</x:v>
      </x:c>
      <x:c r="H6" s="43" t="str">
        <x:v>Passed / failed / blocked</x:v>
      </x:c>
    </x:row>
    <x:row r="7" ht="32" customHeight="1">
      <x:c r="A7" s="24" t="str">
        <x:v>Failed</x:v>
      </x:c>
      <x:c r="B7" s="25" t="n">
        <x:f>COUNTIF('User Stories'!$U$2:$U$224,"Failed")</x:f>
        <x:v>0</x:v>
      </x:c>
      <x:c r="D7" s="41" t="str">
        <x:v>3. Defect repair</x:v>
      </x:c>
      <x:c r="E7" s="42" t="str">
        <x:v>Every verified UX/logistics defect disposed</x:v>
      </x:c>
      <x:c r="F7" s="42" t="str">
        <x:v>62 fixed / 0 open</x:v>
      </x:c>
      <x:c r="G7" s="42" t="str">
        <x:v>Reproduction + focused test</x:v>
      </x:c>
      <x:c r="H7" s="43" t="str">
        <x:v>Fixed or excluded</x:v>
      </x:c>
    </x:row>
    <x:row r="8" ht="32" customHeight="1">
      <x:c r="A8" s="24" t="str">
        <x:v>Blocked</x:v>
      </x:c>
      <x:c r="B8" s="25" t="n">
        <x:f>COUNTIF('User Stories'!$U$2:$U$224,"Blocked")</x:f>
        <x:v>0</x:v>
      </x:c>
      <x:c r="D8" s="41" t="str">
        <x:v>4. Retest</x:v>
      </x:c>
      <x:c r="E8" s="42" t="str">
        <x:v>Affected behavior rerun</x:v>
      </x:c>
      <x:c r="F8" s="42" t="str">
        <x:v>12 repair batches + 9 integration tests passed</x:v>
      </x:c>
      <x:c r="G8" s="42" t="str">
        <x:v>Post-fix evidence</x:v>
      </x:c>
      <x:c r="H8" s="43" t="str">
        <x:v>No failed retest</x:v>
      </x:c>
    </x:row>
    <x:row r="9" ht="32" customHeight="1">
      <x:c r="A9" s="24" t="str">
        <x:v>Not tested / inventory</x:v>
      </x:c>
      <x:c r="B9" s="25" t="n">
        <x:f>COUNTIF('User Stories'!$U$2:$U$224,"Inventory")+COUNTIF('User Stories'!$U$2:$U$224,"Testing")</x:f>
        <x:v>0</x:v>
      </x:c>
      <x:c r="D9" s="41" t="str">
        <x:v>5. Final gates</x:v>
      </x:c>
      <x:c r="E9" s="42" t="str">
        <x:v>Docs, lint, tests, build</x:v>
      </x:c>
      <x:c r="F9" s="42" t="str">
        <x:v>Passed</x:v>
      </x:c>
      <x:c r="G9" s="42" t="str">
        <x:v>Recorded commands</x:v>
      </x:c>
      <x:c r="H9" s="43" t="str">
        <x:v>All applicable gates pass</x:v>
      </x:c>
    </x:row>
    <x:row r="10" ht="32" customHeight="1">
      <x:c r="A10" s="26" t="str">
        <x:v>Open defects</x:v>
      </x:c>
      <x:c r="B10" s="27" t="n">
        <x:f>COUNTIF('Defects'!$F$2:$F$500,"Open")+COUNTIF('Defects'!$F$2:$F$500,"Investigating")+COUNTIF('Defects'!$F$2:$F$500,"Fixing")+COUNTIF('Defects'!$F$2:$F$500,"Retest")</x:f>
        <x:v>0</x:v>
      </x:c>
      <x:c r="D10" s="44" t="str">
        <x:v>Environment</x:v>
      </x:c>
      <x:c r="E10" s="45" t="str">
        <x:v>Writes require controlled fixtures</x:v>
      </x:c>
      <x:c r="F10" s="45" t="str">
        <x:v>Disposable PostgreSQL validated; shared Supabase remained read-only</x:v>
      </x:c>
      <x:c r="G10" s="45" t="str">
        <x:v>No secret values recorded</x:v>
      </x:c>
      <x:c r="H10" s="46" t="str">
        <x:v>No unsafe shared writes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310c3c1a339448f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34" hidden="0" customWidth="1"/>
    <x:col min="5" max="5" width="20" hidden="0" customWidth="1"/>
    <x:col min="6" max="6" width="44" hidden="0" customWidth="1"/>
    <x:col min="7" max="7" width="62" hidden="0" customWidth="1"/>
    <x:col min="8" max="8" width="38" hidden="0" customWidth="1"/>
    <x:col min="9" max="9" width="38" hidden="0" customWidth="1"/>
    <x:col min="10" max="10" width="48" hidden="0" customWidth="1"/>
    <x:col min="11" max="11" width="36" hidden="0" customWidth="1"/>
    <x:col min="12" max="12" width="44" hidden="0" customWidth="1"/>
    <x:col min="13" max="13" width="44" hidden="0" customWidth="1"/>
    <x:col min="14" max="14" width="34" hidden="0" customWidth="1"/>
    <x:col min="15" max="15" width="30" hidden="0" customWidth="1"/>
    <x:col min="16" max="16" width="18" hidden="0" customWidth="1"/>
    <x:col min="17" max="17" width="18" hidden="0" customWidth="1"/>
    <x:col min="18" max="18" width="14" hidden="0" customWidth="1"/>
    <x:col min="19" max="19" width="16" hidden="0" customWidth="1"/>
    <x:col min="20" max="20" width="18" hidden="0" customWidth="1"/>
    <x:col min="21" max="21" width="16" hidden="0" customWidth="1"/>
    <x:col min="22" max="22" width="42" hidden="0" customWidth="1"/>
    <x:col min="23" max="23" width="36" hidden="0" customWidth="1"/>
  </x:cols>
  <x:sheetData>
    <x:row r="1">
      <x:c r="A1" s="35" t="str">
        <x:v>Story ID</x:v>
      </x:c>
      <x:c r="B1" s="35" t="str">
        <x:v>Module</x:v>
      </x:c>
      <x:c r="C1" s="35" t="str">
        <x:v>Surface / Route</x:v>
      </x:c>
      <x:c r="D1" s="35" t="str">
        <x:v>Feature / Action</x:v>
      </x:c>
      <x:c r="E1" s="35" t="str">
        <x:v>Actor</x:v>
      </x:c>
      <x:c r="F1" s="35" t="str">
        <x:v>User Story</x:v>
      </x:c>
      <x:c r="G1" s="35" t="str">
        <x:v>Expected Behaviour</x:v>
      </x:c>
      <x:c r="H1" s="35" t="str">
        <x:v>Preconditions</x:v>
      </x:c>
      <x:c r="I1" s="35" t="str">
        <x:v>Code Origin</x:v>
      </x:c>
      <x:c r="J1" s="35" t="str">
        <x:v>Orchestration</x:v>
      </x:c>
      <x:c r="K1" s="35" t="str">
        <x:v>Persistence</x:v>
      </x:c>
      <x:c r="L1" s="35" t="str">
        <x:v>Observable Effects / Cache</x:v>
      </x:c>
      <x:c r="M1" s="35" t="str">
        <x:v>Failure Behaviour</x:v>
      </x:c>
      <x:c r="N1" s="35" t="str">
        <x:v>Baseline Evidence</x:v>
      </x:c>
      <x:c r="O1" s="35" t="str">
        <x:v>Source Document</x:v>
      </x:c>
      <x:c r="P1" s="35" t="str">
        <x:v>Test Type</x:v>
      </x:c>
      <x:c r="Q1" s="35" t="str">
        <x:v>Initial Test Status</x:v>
      </x:c>
      <x:c r="R1" s="35" t="str">
        <x:v>Defect ID</x:v>
      </x:c>
      <x:c r="S1" s="35" t="str">
        <x:v>Fix Status</x:v>
      </x:c>
      <x:c r="T1" s="35" t="str">
        <x:v>Post-fix Retest</x:v>
      </x:c>
      <x:c r="U1" s="35" t="str">
        <x:v>Final Status</x:v>
      </x:c>
      <x:c r="V1" s="35" t="str">
        <x:v>Evidence / Command</x:v>
      </x:c>
      <x:c r="W1" s="35" t="str">
        <x:v>Notes</x:v>
      </x:c>
    </x:row>
    <x:row r="2" ht="54" customHeight="1">
      <x:c r="A2" s="33" t="str">
        <x:v>US-001</x:v>
      </x:c>
      <x:c r="B2" s="33" t="str">
        <x:v>chegadas-saidas</x:v>
      </x:c>
      <x:c r="C2" s="33" t="str">
        <x:v>Carregar ativos</x:v>
      </x:c>
      <x:c r="D2" s="33" t="str">
        <x:v>Carregar ativos</x:v>
      </x:c>
      <x:c r="E2" s="33" t="str">
        <x:v>Usuário interno</x:v>
      </x:c>
      <x:c r="F2" s="34" t="str">
        <x:v>Como usuário interno, quero carregar ativos para concluir o objetivo operacional descrito pela interface.</x:v>
      </x:c>
      <x:c r="G2" s="34" t="str">
        <x:v>Ao carregar ativos, o sistema deve executar useQuery(['admin-vessel-schedules']) faz select ordenado. Persistência esperada: Leitura de vessel_schedules. Resultado observável: Preenche tabela na ordem manual. Em falha: Erro é lançado pela query, mas a página não renderiza estado de erro dedicado.</x:v>
      </x:c>
      <x:c r="H2" s="34" t="str">
        <x:v>Sessão interna e perfil ativo</x:v>
      </x:c>
      <x:c r="I2" s="34" t="str">
        <x:v>Montagem de /chegadas-saidas</x:v>
      </x:c>
      <x:c r="J2" s="34" t="str">
        <x:v>useQuery(['admin-vessel-schedules']) faz select ordenado</x:v>
      </x:c>
      <x:c r="K2" s="34" t="str">
        <x:v>Leitura de vessel_schedules</x:v>
      </x:c>
      <x:c r="L2" s="34" t="str">
        <x:v>Preenche tabela na ordem manual</x:v>
      </x:c>
      <x:c r="M2" s="34" t="str">
        <x:v>Erro é lançado pela query, mas a página não renderiza estado de erro dedicado</x:v>
      </x:c>
      <x:c r="N2" s="34" t="str">
        <x:v>Código: src/pages/ChegadasSaidas.tsx</x:v>
      </x:c>
      <x:c r="O2" s="34" t="str">
        <x:v>docs/modules/chegadas-saidas.md</x:v>
      </x:c>
      <x:c r="P2" s="34" t="str">
        <x:v>Runtime</x:v>
      </x:c>
      <x:c r="Q2" s="34" t="str">
        <x:v>Failed</x:v>
      </x:c>
      <x:c r="R2" s="34" t="str">
        <x:v>DEF-011, DEF-041</x:v>
      </x:c>
      <x:c r="S2" s="34" t="str">
        <x:v>Fixed</x:v>
      </x:c>
      <x:c r="T2" s="34" t="str">
        <x:v>Passed</x:v>
      </x:c>
      <x:c r="U2" s="34" t="str">
        <x:v>Passed</x:v>
      </x:c>
      <x:c r="V2" s="34" t="str">
        <x:v>Post-fix focused tests passed: DEF-011, DEF-041</x:v>
      </x:c>
      <x:c r="W2" s="34" t="str">
        <x:v>Legenda afirma confirmação de evento sem dado persistido | Instalacao limpa nao concede acesso a programacao de navios</x:v>
      </x:c>
    </x:row>
    <x:row r="3" ht="54" customHeight="1">
      <x:c r="A3" s="33" t="str">
        <x:v>US-002</x:v>
      </x:c>
      <x:c r="B3" s="33" t="str">
        <x:v>chegadas-saidas</x:v>
      </x:c>
      <x:c r="C3" s="33" t="str">
        <x:v>Adicionar navio</x:v>
      </x:c>
      <x:c r="D3" s="33" t="str">
        <x:v>Adicionar navio</x:v>
      </x:c>
      <x:c r="E3" s="33" t="str">
        <x:v>Usuário interno</x:v>
      </x:c>
      <x:c r="F3" s="34" t="str">
        <x:v>Como usuário interno, quero adicionar navio para concluir o objetivo operacional descrito pela interface.</x:v>
      </x:c>
      <x:c r="G3" s="34" t="str">
        <x:v>Ao adicionar navio, o sistema deve executar Calcula max(display_order) + 1 no cliente e faz insert. Persistência esperada: Insere vessel_schedules. Resultado observável: Invalida ['admin-vessel-schedules'] e fecha modal. Em falha: Concorrência pode gerar ordens iguais; coluna inexistente/schema drift retorna erro PostgREST.</x:v>
      </x:c>
      <x:c r="H3" s="34" t="str">
        <x:v>Nome e viagem preenchidos; RLS is_active_user()</x:v>
      </x:c>
      <x:c r="I3" s="34" t="str">
        <x:v>Modal “Adicionar Navio”</x:v>
      </x:c>
      <x:c r="J3" s="34" t="str">
        <x:v>Calcula max(display_order) + 1 no cliente e faz insert</x:v>
      </x:c>
      <x:c r="K3" s="34" t="str">
        <x:v>Insere vessel_schedules</x:v>
      </x:c>
      <x:c r="L3" s="34" t="str">
        <x:v>Invalida ['admin-vessel-schedules'] e fecha modal</x:v>
      </x:c>
      <x:c r="M3" s="34" t="str">
        <x:v>Concorrência pode gerar ordens iguais; coluna inexistente/schema drift retorna erro PostgREST</x:v>
      </x:c>
      <x:c r="N3" s="34" t="str">
        <x:v>Código: src/pages/ChegadasSaidas.tsx, supabase/migrations/20260616000000_vessel_schedules.sql</x:v>
      </x:c>
      <x:c r="O3" s="34" t="str">
        <x:v>docs/modules/chegadas-saidas.md</x:v>
      </x:c>
      <x:c r="P3" s="34" t="str">
        <x:v>Runtime</x:v>
      </x:c>
      <x:c r="Q3" s="34" t="str">
        <x:v>Blocked</x:v>
      </x:c>
      <x:c r="R3" s="34" t="str"/>
      <x:c r="S3" s="34" t="str">
        <x:v>Not Needed</x:v>
      </x:c>
      <x:c r="T3" s="34" t="str">
        <x:v>Not Applicable</x:v>
      </x:c>
      <x:c r="U3" s="34" t="str">
        <x:v>Passed</x:v>
      </x:c>
      <x:c r="V3" s="34" t="str">
        <x:v>Component behavior test: creates a vessel after the current final display order.</x:v>
      </x:c>
      <x:c r="W3" s="34" t="str">
        <x:v>src/pages/__tests__/ChegadasSaidas.behavior.test.tsx</x:v>
      </x:c>
    </x:row>
    <x:row r="4" ht="54" customHeight="1">
      <x:c r="A4" s="33" t="str">
        <x:v>US-003</x:v>
      </x:c>
      <x:c r="B4" s="33" t="str">
        <x:v>chegadas-saidas</x:v>
      </x:c>
      <x:c r="C4" s="33" t="str">
        <x:v>Editar navio</x:v>
      </x:c>
      <x:c r="D4" s="33" t="str">
        <x:v>Editar navio</x:v>
      </x:c>
      <x:c r="E4" s="33" t="str">
        <x:v>Usuário interno</x:v>
      </x:c>
      <x:c r="F4" s="34" t="str">
        <x:v>Como usuário interno, quero editar navio para concluir o objetivo operacional descrito pela interface.</x:v>
      </x:c>
      <x:c r="G4" s="34" t="str">
        <x:v>Ao editar navio, o sistema deve executar Update do objeto completo do formulário por id. Persistência esperada: Atualiza vessel_schedules; trigger muda updated_at. Resultado observável: Invalida cache interno e fecha modal. Em falha: Sem lock otimista; edição concorrente usa last write wins.</x:v>
      </x:c>
      <x:c r="H4" s="34" t="str">
        <x:v>Linha existente; RLS is_active_user()</x:v>
      </x:c>
      <x:c r="I4" s="34" t="str">
        <x:v>Botão Editar/modal</x:v>
      </x:c>
      <x:c r="J4" s="34" t="str">
        <x:v>Update do objeto completo do formulário por id</x:v>
      </x:c>
      <x:c r="K4" s="34" t="str">
        <x:v>Atualiza vessel_schedules; trigger muda updated_at</x:v>
      </x:c>
      <x:c r="L4" s="34" t="str">
        <x:v>Invalida cache interno e fecha modal</x:v>
      </x:c>
      <x:c r="M4" s="34" t="str">
        <x:v>Sem lock otimista; edição concorrente usa last write wins</x:v>
      </x:c>
      <x:c r="N4" s="34" t="str">
        <x:v>Código: src/pages/ChegadasSaidas.tsx</x:v>
      </x:c>
      <x:c r="O4" s="34" t="str">
        <x:v>docs/modules/chegadas-saidas.md</x:v>
      </x:c>
      <x:c r="P4" s="34" t="str">
        <x:v>Runtime</x:v>
      </x:c>
      <x:c r="Q4" s="34" t="str">
        <x:v>Blocked</x:v>
      </x:c>
      <x:c r="R4" s="34" t="str"/>
      <x:c r="S4" s="34" t="str">
        <x:v>Not Needed</x:v>
      </x:c>
      <x:c r="T4" s="34" t="str">
        <x:v>Not Applicable</x:v>
      </x:c>
      <x:c r="U4" s="34" t="str">
        <x:v>Passed</x:v>
      </x:c>
      <x:c r="V4" s="34" t="str">
        <x:v>Component behavior test: edits an existing vessel and persists the changed voyage.</x:v>
      </x:c>
      <x:c r="W4" s="34" t="str">
        <x:v>src/pages/__tests__/ChegadasSaidas.behavior.test.tsx</x:v>
      </x:c>
    </x:row>
    <x:row r="5" ht="54" customHeight="1">
      <x:c r="A5" s="33" t="str">
        <x:v>US-004</x:v>
      </x:c>
      <x:c r="B5" s="33" t="str">
        <x:v>chegadas-saidas</x:v>
      </x:c>
      <x:c r="C5" s="33" t="str">
        <x:v>Reordenar</x:v>
      </x:c>
      <x:c r="D5" s="33" t="str">
        <x:v>Reordenar</x:v>
      </x:c>
      <x:c r="E5" s="33" t="str">
        <x:v>Usuário interno</x:v>
      </x:c>
      <x:c r="F5" s="34" t="str">
        <x:v>Como usuário interno, quero reordenar para concluir o objetivo operacional descrito pela interface.</x:v>
      </x:c>
      <x:c r="G5" s="34" t="str">
        <x:v>Ao reordenar, o sistema deve executar Reordena o array e envia toda a ordem para reorder_vessel_schedules. Persistência esperada: RPC bloqueia e regrava display_order de todos os ativos na mesma transação. Resultado observável: Invalida ['admin-vessel-schedules']; Realtime atualiza Portal. Em falha: Qualquer erro reverte a ordem inteira e mostra toast.</x:v>
      </x:c>
      <x:c r="H5" s="34" t="str">
        <x:v>Lista carregada; posição permite movimento; RLS de update</x:v>
      </x:c>
      <x:c r="I5" s="34" t="str">
        <x:v>Botões Subir/Descer</x:v>
      </x:c>
      <x:c r="J5" s="34" t="str">
        <x:v>Reordena o array e envia toda a ordem para reorder_vessel_schedules</x:v>
      </x:c>
      <x:c r="K5" s="34" t="str">
        <x:v>RPC bloqueia e regrava display_order de todos os ativos na mesma transação</x:v>
      </x:c>
      <x:c r="L5" s="34" t="str">
        <x:v>Invalida ['admin-vessel-schedules']; Realtime atualiza Portal</x:v>
      </x:c>
      <x:c r="M5" s="34" t="str">
        <x:v>Qualquer erro reverte a ordem inteira e mostra toast</x:v>
      </x:c>
      <x:c r="N5" s="34" t="str">
        <x:v>Código: src/pages/ChegadasSaidas.tsx, src/services/vesselScheduleAdmin.ts, supabase/migrations/20260622174608_atomic_vessel_schedule_operations.sql · Teste: src/pages/__tests__/ChegadasSaidas.behavior.test.tsx</x:v>
      </x:c>
      <x:c r="O5" s="34" t="str">
        <x:v>docs/modules/chegadas-saidas.md</x:v>
      </x:c>
      <x:c r="P5" s="34" t="str">
        <x:v>Automated</x:v>
      </x:c>
      <x:c r="Q5" s="34" t="str">
        <x:v>Failed</x:v>
      </x:c>
      <x:c r="R5" s="34" t="str">
        <x:v>DEF-032</x:v>
      </x:c>
      <x:c r="S5" s="34" t="str">
        <x:v>Fixed</x:v>
      </x:c>
      <x:c r="T5" s="34" t="str">
        <x:v>Passed</x:v>
      </x:c>
      <x:c r="U5" s="34" t="str">
        <x:v>Passed</x:v>
      </x:c>
      <x:c r="V5" s="34" t="str">
        <x:v>Post-fix focused tests passed: DEF-032</x:v>
      </x:c>
      <x:c r="W5" s="34" t="str">
        <x:v>Reordenação de navios pode persistir apenas parte da ordem | Validated against PostgreSQL 17 disposable fixtures.</x:v>
      </x:c>
    </x:row>
    <x:row r="6" ht="54" customHeight="1">
      <x:c r="A6" s="33" t="str">
        <x:v>US-005</x:v>
      </x:c>
      <x:c r="B6" s="33" t="str">
        <x:v>chegadas-saidas</x:v>
      </x:c>
      <x:c r="C6" s="33" t="str">
        <x:v>Encerrar/arquivar</x:v>
      </x:c>
      <x:c r="D6" s="33" t="str">
        <x:v>Encerrar/arquivar</x:v>
      </x:c>
      <x:c r="E6" s="33" t="str">
        <x:v>Usuário interno</x:v>
      </x:c>
      <x:c r="F6" s="34" t="str">
        <x:v>Como usuário interno, quero encerrar/arquivar para concluir o objetivo operacional descrito pela interface.</x:v>
      </x:c>
      <x:c r="G6" s="34" t="str">
        <x:v>Ao encerrar/arquivar, o sistema deve executar Chama archive_vessel_schedule. Persistência esperada: RPC bloqueia o ativo, cria snapshot em ended_vessels e remove vessel_schedules atomicamente. Resultado observável: Invalida cache interno; delete gera evento Realtime para o Portal. Em falha: Qualquer erro reverte snapshot e remoção e mostra toast.</x:v>
      </x:c>
      <x:c r="H6" s="34" t="str">
        <x:v>Confirmação; insert ativo e delete admin</x:v>
      </x:c>
      <x:c r="I6" s="34" t="str">
        <x:v>Botão Encerrar</x:v>
      </x:c>
      <x:c r="J6" s="34" t="str">
        <x:v>Chama archive_vessel_schedule</x:v>
      </x:c>
      <x:c r="K6" s="34" t="str">
        <x:v>RPC bloqueia o ativo, cria snapshot em ended_vessels e remove vessel_schedules atomicamente</x:v>
      </x:c>
      <x:c r="L6" s="34" t="str">
        <x:v>Invalida cache interno; delete gera evento Realtime para o Portal</x:v>
      </x:c>
      <x:c r="M6" s="34" t="str">
        <x:v>Qualquer erro reverte snapshot e remoção e mostra toast</x:v>
      </x:c>
      <x:c r="N6" s="34" t="str">
        <x:v>Código: src/pages/ChegadasSaidas.tsx, src/services/vesselScheduleAdmin.ts, supabase/migrations/20260622174608_atomic_vessel_schedule_operations.sql · Teste: src/pages/__tests__/ChegadasSaidas.behavior.test.tsx</x:v>
      </x:c>
      <x:c r="O6" s="34" t="str">
        <x:v>docs/modules/chegadas-saidas.md</x:v>
      </x:c>
      <x:c r="P6" s="34" t="str">
        <x:v>Automated</x:v>
      </x:c>
      <x:c r="Q6" s="34" t="str">
        <x:v>Failed</x:v>
      </x:c>
      <x:c r="R6" s="34" t="str">
        <x:v>DEF-031</x:v>
      </x:c>
      <x:c r="S6" s="34" t="str">
        <x:v>Fixed</x:v>
      </x:c>
      <x:c r="T6" s="34" t="str">
        <x:v>Passed</x:v>
      </x:c>
      <x:c r="U6" s="34" t="str">
        <x:v>Passed</x:v>
      </x:c>
      <x:c r="V6" s="34" t="str">
        <x:v>Post-fix focused tests passed: DEF-031</x:v>
      </x:c>
      <x:c r="W6" s="34" t="str">
        <x:v>Encerrar navio pode duplicar ativo e histórico | Validated against PostgreSQL 17 disposable fixtures.</x:v>
      </x:c>
    </x:row>
    <x:row r="7" ht="54" customHeight="1">
      <x:c r="A7" s="33" t="str">
        <x:v>US-006</x:v>
      </x:c>
      <x:c r="B7" s="33" t="str">
        <x:v>chegadas-saidas</x:v>
      </x:c>
      <x:c r="C7" s="33" t="str">
        <x:v>Excluir permanentemente</x:v>
      </x:c>
      <x:c r="D7" s="33" t="str">
        <x:v>Excluir permanentemente</x:v>
      </x:c>
      <x:c r="E7" s="33" t="str">
        <x:v>Usuário interno</x:v>
      </x:c>
      <x:c r="F7" s="34" t="str">
        <x:v>Como usuário interno, quero excluir permanentemente para concluir o objetivo operacional descrito pela interface.</x:v>
      </x:c>
      <x:c r="G7" s="34" t="str">
        <x:v>Ao excluir permanentemente, o sistema deve executar Delete direto por id. Persistência esperada: Remove de vessel_schedules; não arquiva. Resultado observável: Invalida cache interno; Realtime invalida Portal. Em falha: Não admin recebe erro RLS; não há auditoria específica no fluxo.</x:v>
      </x:c>
      <x:c r="H7" s="34" t="str">
        <x:v>Confirmação e is_admin()</x:v>
      </x:c>
      <x:c r="I7" s="34" t="str">
        <x:v>Botão Excluir</x:v>
      </x:c>
      <x:c r="J7" s="34" t="str">
        <x:v>Delete direto por id</x:v>
      </x:c>
      <x:c r="K7" s="34" t="str">
        <x:v>Remove de vessel_schedules; não arquiva</x:v>
      </x:c>
      <x:c r="L7" s="34" t="str">
        <x:v>Invalida cache interno; Realtime invalida Portal</x:v>
      </x:c>
      <x:c r="M7" s="34" t="str">
        <x:v>Não admin recebe erro RLS; não há auditoria específica no fluxo</x:v>
      </x:c>
      <x:c r="N7" s="34" t="str">
        <x:v>Código: src/pages/ChegadasSaidas.tsx, supabase/migrations/20260616000000_vessel_schedules.sql</x:v>
      </x:c>
      <x:c r="O7" s="34" t="str">
        <x:v>docs/modules/chegadas-saidas.md</x:v>
      </x:c>
      <x:c r="P7" s="34" t="str">
        <x:v>Runtime</x:v>
      </x:c>
      <x:c r="Q7" s="34" t="str">
        <x:v>Blocked</x:v>
      </x:c>
      <x:c r="R7" s="34" t="str"/>
      <x:c r="S7" s="34" t="str">
        <x:v>Not Needed</x:v>
      </x:c>
      <x:c r="T7" s="34" t="str">
        <x:v>Not Applicable</x:v>
      </x:c>
      <x:c r="U7" s="34" t="str">
        <x:v>Passed</x:v>
      </x:c>
      <x:c r="V7" s="34" t="str">
        <x:v>Component behavior test: requires confirmation and deletes the selected vessel.</x:v>
      </x:c>
      <x:c r="W7" s="34" t="str">
        <x:v>src/pages/__tests__/ChegadasSaidas.behavior.test.tsx</x:v>
      </x:c>
    </x:row>
    <x:row r="8" ht="54" customHeight="1">
      <x:c r="A8" s="33" t="str">
        <x:v>US-007</x:v>
      </x:c>
      <x:c r="B8" s="33" t="str">
        <x:v>chegadas-saidas</x:v>
      </x:c>
      <x:c r="C8" s="33" t="str">
        <x:v>Baixar planilha modelo</x:v>
      </x:c>
      <x:c r="D8" s="33" t="str">
        <x:v>Baixar planilha modelo</x:v>
      </x:c>
      <x:c r="E8" s="33" t="str">
        <x:v>Usuário interno</x:v>
      </x:c>
      <x:c r="F8" s="34" t="str">
        <x:v>Como usuário interno, quero baixar planilha modelo para concluir o objetivo operacional descrito pela interface.</x:v>
      </x:c>
      <x:c r="G8" s="34" t="str">
        <x:v>Ao baixar planilha modelo, o sistema deve executar Lê ativos, prepende EXEMPLO NAVIO, gera workbook. Persistência esperada: Nenhuma escrita; arquivo modelo_navios.xlsx. Resultado observável: Não altera cache. Em falha: Erro da leitura não é verificado antes de gerar o arquivo.</x:v>
      </x:c>
      <x:c r="H8" s="34" t="str">
        <x:v>Sessão ativa; leitura permitida</x:v>
      </x:c>
      <x:c r="I8" s="34" t="str">
        <x:v>“Baixar Planilha Modelo”</x:v>
      </x:c>
      <x:c r="J8" s="34" t="str">
        <x:v>Lê ativos, prepende EXEMPLO NAVIO, gera workbook</x:v>
      </x:c>
      <x:c r="K8" s="34" t="str">
        <x:v>Nenhuma escrita; arquivo modelo_navios.xlsx</x:v>
      </x:c>
      <x:c r="L8" s="34" t="str">
        <x:v>Não altera cache</x:v>
      </x:c>
      <x:c r="M8" s="34" t="str">
        <x:v>Erro da leitura não é verificado antes de gerar o arquivo</x:v>
      </x:c>
      <x:c r="N8" s="34" t="str">
        <x:v>Código: src/pages/ChegadasSaidas.tsx</x:v>
      </x:c>
      <x:c r="O8" s="34" t="str">
        <x:v>docs/modules/chegadas-saidas.md</x:v>
      </x:c>
      <x:c r="P8" s="34" t="str">
        <x:v>Runtime</x:v>
      </x:c>
      <x:c r="Q8" s="34" t="str">
        <x:v>Failed</x:v>
      </x:c>
      <x:c r="R8" s="34" t="str">
        <x:v>DEF-033</x:v>
      </x:c>
      <x:c r="S8" s="34" t="str">
        <x:v>Fixed</x:v>
      </x:c>
      <x:c r="T8" s="34" t="str">
        <x:v>Passed</x:v>
      </x:c>
      <x:c r="U8" s="34" t="str">
        <x:v>Passed</x:v>
      </x:c>
      <x:c r="V8" s="34" t="str">
        <x:v>Post-fix focused tests passed: DEF-033</x:v>
      </x:c>
      <x:c r="W8" s="34" t="str">
        <x:v>Download do modelo de navios ignora falha da consulta</x:v>
      </x:c>
    </x:row>
    <x:row r="9" ht="54" customHeight="1">
      <x:c r="A9" s="33" t="str">
        <x:v>US-008</x:v>
      </x:c>
      <x:c r="B9" s="33" t="str">
        <x:v>chegadas-saidas</x:v>
      </x:c>
      <x:c r="C9" s="33" t="str">
        <x:v>Importar planilha</x:v>
      </x:c>
      <x:c r="D9" s="33" t="str">
        <x:v>Importar planilha</x:v>
      </x:c>
      <x:c r="E9" s="33" t="str">
        <x:v>Usuário interno</x:v>
      </x:c>
      <x:c r="F9" s="34" t="str">
        <x:v>Como usuário interno, quero importar planilha para concluir o objetivo operacional descrito pela interface.</x:v>
      </x:c>
      <x:c r="G9" s="34" t="str">
        <x:v>Ao importar planilha, o sistema deve executar @e965/xlsx lê primeira aba; casa nome case-insensitive; mapeia cabeçalhos e atualiza linha a linha. Persistência esperada: Updates em vessel_schedules; nunca cria navio. Resultado observável: Invalida cache se ao menos uma linha foi atualizada; Realtime propaga ao Portal. Em falha: Sem limite de upload/preview; linhas desconhecidas vão para notFound; updates podem ser parciais; erros ficam no resumo.</x:v>
      </x:c>
      <x:c r="H9" s="34" t="str">
        <x:v>Arquivo aceito pelo input; navios já cadastrados; update permitido</x:v>
      </x:c>
      <x:c r="I9" s="34" t="str">
        <x:v>“Fazer Upload”</x:v>
      </x:c>
      <x:c r="J9" s="34" t="str">
        <x:v>@e965/xlsx lê primeira aba; casa nome case-insensitive; mapeia cabeçalhos e atualiza linha a linha</x:v>
      </x:c>
      <x:c r="K9" s="34" t="str">
        <x:v>Updates em vessel_schedules; nunca cria navio</x:v>
      </x:c>
      <x:c r="L9" s="34" t="str">
        <x:v>Invalida cache se ao menos uma linha foi atualizada; Realtime propaga ao Portal</x:v>
      </x:c>
      <x:c r="M9" s="34" t="str">
        <x:v>Sem limite de upload/preview; linhas desconhecidas vão para notFound; updates podem ser parciais; erros ficam no resumo</x:v>
      </x:c>
      <x:c r="N9" s="34" t="str">
        <x:v>Código: src/pages/ChegadasSaidas.tsx</x:v>
      </x:c>
      <x:c r="O9" s="34" t="str">
        <x:v>docs/modules/chegadas-saidas.md</x:v>
      </x:c>
      <x:c r="P9" s="34" t="str">
        <x:v>Runtime</x:v>
      </x:c>
      <x:c r="Q9" s="34" t="str">
        <x:v>Failed</x:v>
      </x:c>
      <x:c r="R9" s="34" t="str">
        <x:v>DEF-013</x:v>
      </x:c>
      <x:c r="S9" s="34" t="str">
        <x:v>Fixed</x:v>
      </x:c>
      <x:c r="T9" s="34" t="str">
        <x:v>Passed</x:v>
      </x:c>
      <x:c r="U9" s="34" t="str">
        <x:v>Passed</x:v>
      </x:c>
      <x:c r="V9" s="34" t="str">
        <x:v>Post-fix focused tests passed: DEF-013</x:v>
      </x:c>
      <x:c r="W9" s="34" t="str">
        <x:v>Importação de cronograma processa arquivo sem limite de upload</x:v>
      </x:c>
    </x:row>
    <x:row r="10" ht="54" customHeight="1">
      <x:c r="A10" s="33" t="str">
        <x:v>US-009</x:v>
      </x:c>
      <x:c r="B10" s="33" t="str">
        <x:v>chegadas-saidas</x:v>
      </x:c>
      <x:c r="C10" s="33" t="str">
        <x:v>Carregar/exportar encerrados</x:v>
      </x:c>
      <x:c r="D10" s="33" t="str">
        <x:v>Carregar/exportar encerrados</x:v>
      </x:c>
      <x:c r="E10" s="33" t="str">
        <x:v>Usuário interno</x:v>
      </x:c>
      <x:c r="F10" s="34" t="str">
        <x:v>Como usuário interno, quero carregar/exportar encerrados para concluir o objetivo operacional descrito pela interface.</x:v>
      </x:c>
      <x:c r="G10" s="34" t="str">
        <x:v>Ao carregar/exportar encerrados, o sistema deve executar Select de ended_vessels por ended_at desc; gera workbook. Persistência esperada: Somente leitura; arquivo navios_encerrados.xlsx. Resultado observável: Não altera cache. Em falha: Erro da consulta não é distinguido de lista vazia; não há tela de histórico.</x:v>
      </x:c>
      <x:c r="H10" s="34" t="str">
        <x:v>Sessão autenticada com SELECT</x:v>
      </x:c>
      <x:c r="I10" s="34" t="str">
        <x:v>“Exportar Encerrados”</x:v>
      </x:c>
      <x:c r="J10" s="34" t="str">
        <x:v>Select de ended_vessels por ended_at desc; gera workbook</x:v>
      </x:c>
      <x:c r="K10" s="34" t="str">
        <x:v>Somente leitura; arquivo navios_encerrados.xlsx</x:v>
      </x:c>
      <x:c r="L10" s="34" t="str">
        <x:v>Não altera cache</x:v>
      </x:c>
      <x:c r="M10" s="34" t="str">
        <x:v>Erro da consulta não é distinguido de lista vazia; não há tela de histórico</x:v>
      </x:c>
      <x:c r="N10" s="34" t="str">
        <x:v>Código: src/pages/ChegadasSaidas.tsx</x:v>
      </x:c>
      <x:c r="O10" s="34" t="str">
        <x:v>docs/modules/chegadas-saidas.md</x:v>
      </x:c>
      <x:c r="P10" s="34" t="str">
        <x:v>Runtime</x:v>
      </x:c>
      <x:c r="Q10" s="34" t="str">
        <x:v>Failed</x:v>
      </x:c>
      <x:c r="R10" s="34" t="str">
        <x:v>DEF-034</x:v>
      </x:c>
      <x:c r="S10" s="34" t="str">
        <x:v>Fixed</x:v>
      </x:c>
      <x:c r="T10" s="34" t="str">
        <x:v>Passed</x:v>
      </x:c>
      <x:c r="U10" s="34" t="str">
        <x:v>Passed</x:v>
      </x:c>
      <x:c r="V10" s="34" t="str">
        <x:v>Post-fix focused tests passed: DEF-034</x:v>
      </x:c>
      <x:c r="W10" s="34" t="str">
        <x:v>Exportação de encerrados trata erro de consulta como lista vazia</x:v>
      </x:c>
    </x:row>
    <x:row r="11" ht="54" customHeight="1">
      <x:c r="A11" s="33" t="str">
        <x:v>US-010</x:v>
      </x:c>
      <x:c r="B11" s="33" t="str">
        <x:v>chegadas-saidas</x:v>
      </x:c>
      <x:c r="C11" s="33" t="str">
        <x:v>Abrir MarineTraffic</x:v>
      </x:c>
      <x:c r="D11" s="33" t="str">
        <x:v>Abrir MarineTraffic</x:v>
      </x:c>
      <x:c r="E11" s="33" t="str">
        <x:v>Usuário interno</x:v>
      </x:c>
      <x:c r="F11" s="34" t="str">
        <x:v>Como usuário interno, quero abrir marinetraffic para concluir o objetivo operacional descrito pela interface.</x:v>
      </x:c>
      <x:c r="G11" s="34" t="str">
        <x:v>Ao abrir marinetraffic, o sistema deve executar Monta URL https://www.marinetraffic.com/en/ais/details/ships/imo:&lt;IMO&gt;. Persistência esperada: Nenhuma. Resultado observável: Abre nova aba com noopener noreferrer. Em falha: IMO inválido leva a URL externa sem validação local.</x:v>
      </x:c>
      <x:c r="H11" s="34" t="str">
        <x:v>imo_number presente</x:v>
      </x:c>
      <x:c r="I11" s="34" t="str">
        <x:v>Clique no nome do navio, interno ou Portal</x:v>
      </x:c>
      <x:c r="J11" s="34" t="str">
        <x:v>Monta URL https://www.marinetraffic.com/en/ais/details/ships/imo:&lt;IMO&gt;</x:v>
      </x:c>
      <x:c r="K11" s="34" t="str">
        <x:v>Nenhuma</x:v>
      </x:c>
      <x:c r="L11" s="34" t="str">
        <x:v>Abre nova aba com noopener noreferrer</x:v>
      </x:c>
      <x:c r="M11" s="34" t="str">
        <x:v>IMO inválido leva a URL externa sem validação local</x:v>
      </x:c>
      <x:c r="N11" s="34" t="str">
        <x:v>Código: src/pages/ChegadasSaidas.tsx, src/components/portal/ShipScheduleWidget.tsx</x:v>
      </x:c>
      <x:c r="O11" s="34" t="str">
        <x:v>docs/modules/chegadas-saidas.md</x:v>
      </x:c>
      <x:c r="P11" s="34" t="str">
        <x:v>Runtime</x:v>
      </x:c>
      <x:c r="Q11" s="34" t="str">
        <x:v>Blocked</x:v>
      </x:c>
      <x:c r="R11" s="34" t="str"/>
      <x:c r="S11" s="34" t="str">
        <x:v>Not Needed</x:v>
      </x:c>
      <x:c r="T11" s="34" t="str">
        <x:v>Not Applicable</x:v>
      </x:c>
      <x:c r="U11" s="34" t="str">
        <x:v>Passed</x:v>
      </x:c>
      <x:c r="V11" s="34" t="str">
        <x:v>Component behavior test: renders the exact MarineTraffic IMO URL.</x:v>
      </x:c>
      <x:c r="W11" s="34" t="str">
        <x:v>src/pages/__tests__/ChegadasSaidas.behavior.test.tsx</x:v>
      </x:c>
    </x:row>
    <x:row r="12" ht="54" customHeight="1">
      <x:c r="A12" s="33" t="str">
        <x:v>US-011</x:v>
      </x:c>
      <x:c r="B12" s="33" t="str">
        <x:v>chegadas-saidas</x:v>
      </x:c>
      <x:c r="C12" s="33" t="str">
        <x:v>Consultar programação no Portal</x:v>
      </x:c>
      <x:c r="D12" s="33" t="str">
        <x:v>Consultar programação no Portal</x:v>
      </x:c>
      <x:c r="E12" s="33" t="str">
        <x:v>Usuário interno</x:v>
      </x:c>
      <x:c r="F12" s="34" t="str">
        <x:v>Como usuário interno, quero consultar programação no portal para concluir o objetivo operacional descrito pela interface.</x:v>
      </x:c>
      <x:c r="G12" s="34" t="str">
        <x:v>Ao consultar programação no portal, o sistema deve executar useVesselSchedules → listVesselSchedules via supabasePortal. Persistência esperada: Leitura de vessel_schedules. Resultado observável: Cache ['portal-vessel-schedules']. Em falha: Service registra erro no console e retorna [], tornando falha indistinguível de vazio na UI.</x:v>
      </x:c>
      <x:c r="H12" s="34" t="str">
        <x:v>Sessão do Portal autenticada; policy SELECT para authenticated</x:v>
      </x:c>
      <x:c r="I12" s="34" t="str">
        <x:v>Montagem do Dashboard/widget</x:v>
      </x:c>
      <x:c r="J12" s="34" t="str">
        <x:v>useVesselSchedules → listVesselSchedules via supabasePortal</x:v>
      </x:c>
      <x:c r="K12" s="34" t="str">
        <x:v>Leitura de vessel_schedules</x:v>
      </x:c>
      <x:c r="L12" s="34" t="str">
        <x:v>Cache ['portal-vessel-schedules']</x:v>
      </x:c>
      <x:c r="M12" s="34" t="str">
        <x:v>Service registra erro no console e retorna [], tornando falha indistinguível de vazio na UI</x:v>
      </x:c>
      <x:c r="N12" s="34" t="str">
        <x:v>Código: src/hooks/useVesselSchedules.ts, src/services/vesselSchedules.ts, src/components/portal/ShipScheduleWidget.tsx</x:v>
      </x:c>
      <x:c r="O12" s="34" t="str">
        <x:v>docs/modules/chegadas-saidas.md</x:v>
      </x:c>
      <x:c r="P12" s="34" t="str">
        <x:v>Runtime</x:v>
      </x:c>
      <x:c r="Q12" s="34" t="str">
        <x:v>Failed</x:v>
      </x:c>
      <x:c r="R12" s="34" t="str">
        <x:v>DEF-005, DEF-012</x:v>
      </x:c>
      <x:c r="S12" s="34" t="str">
        <x:v>Fixed</x:v>
      </x:c>
      <x:c r="T12" s="34" t="str">
        <x:v>Passed</x:v>
      </x:c>
      <x:c r="U12" s="34" t="str">
        <x:v>Passed</x:v>
      </x:c>
      <x:c r="V12" s="34" t="str">
        <x:v>Post-fix focused tests passed: DEF-005, DEF-012</x:v>
      </x:c>
      <x:c r="W12" s="34" t="str">
        <x:v>Falha do cronograma do Portal é mascarada como lista vazia | Widget anuncia atualização diária às 09:00 sem scheduler correspondente</x:v>
      </x:c>
    </x:row>
    <x:row r="13" ht="54" customHeight="1">
      <x:c r="A13" s="33" t="str">
        <x:v>US-012</x:v>
      </x:c>
      <x:c r="B13" s="33" t="str">
        <x:v>chegadas-saidas</x:v>
      </x:c>
      <x:c r="C13" s="33" t="str">
        <x:v>Atualizar Portal por Realtime</x:v>
      </x:c>
      <x:c r="D13" s="33" t="str">
        <x:v>Atualizar Portal por Realtime</x:v>
      </x:c>
      <x:c r="E13" s="33" t="str">
        <x:v>Usuário interno</x:v>
      </x:c>
      <x:c r="F13" s="34" t="str">
        <x:v>Como usuário interno, quero atualizar portal por realtime para concluir o objetivo operacional descrito pela interface.</x:v>
      </x:c>
      <x:c r="G13" s="34" t="str">
        <x:v>Ao atualizar portal por realtime, o sistema deve executar Channel vessel_schedules_widget escuta *. Persistência esperada: Nenhuma escrita adicional. Resultado observável: Invalida ['portal-vessel-schedules'] e refaz a leitura. Em falha: Falha/subscription status não é exibido nem monitorado pelo componente.</x:v>
      </x:c>
      <x:c r="H13" s="34" t="str">
        <x:v>Widget montado; tabela na publicação; conexão ativa</x:v>
      </x:c>
      <x:c r="I13" s="34" t="str">
        <x:v>Evento postgres_changes</x:v>
      </x:c>
      <x:c r="J13" s="34" t="str">
        <x:v>Channel vessel_schedules_widget escuta *</x:v>
      </x:c>
      <x:c r="K13" s="34" t="str">
        <x:v>Nenhuma escrita adicional</x:v>
      </x:c>
      <x:c r="L13" s="34" t="str">
        <x:v>Invalida ['portal-vessel-schedules'] e refaz a leitura</x:v>
      </x:c>
      <x:c r="M13" s="34" t="str">
        <x:v>Falha/subscription status não é exibido nem monitorado pelo componente</x:v>
      </x:c>
      <x:c r="N13" s="34" t="str">
        <x:v>Código: src/components/portal/ShipScheduleWidget.tsx, supabase/migrations/20260616000000_vessel_schedules.sql</x:v>
      </x:c>
      <x:c r="O13" s="34" t="str">
        <x:v>docs/modules/chegadas-saidas.md</x:v>
      </x:c>
      <x:c r="P13" s="34" t="str">
        <x:v>Runtime</x:v>
      </x:c>
      <x:c r="Q13" s="34" t="str">
        <x:v>Blocked</x:v>
      </x:c>
      <x:c r="R13" s="34" t="str"/>
      <x:c r="S13" s="34" t="str">
        <x:v>Not Needed</x:v>
      </x:c>
      <x:c r="T13" s="34" t="str">
        <x:v>Not Applicable</x:v>
      </x:c>
      <x:c r="U13" s="34" t="str">
        <x:v>Passed</x:v>
      </x:c>
      <x:c r="V13" s="34" t="str">
        <x:v>Component behavior test: Realtime event invalidates the Portal schedule and cleanup removes the channel.</x:v>
      </x:c>
      <x:c r="W13" s="34" t="str">
        <x:v>src/components/portal/__tests__/ShipScheduleWidget.test.tsx</x:v>
      </x:c>
    </x:row>
    <x:row r="14" ht="54" customHeight="1">
      <x:c r="A14" s="33" t="str">
        <x:v>US-013</x:v>
      </x:c>
      <x:c r="B14" s="33" t="str">
        <x:v>clientes</x:v>
      </x:c>
      <x:c r="C14" s="33" t="str">
        <x:v>/clientes</x:v>
      </x:c>
      <x:c r="D14" s="33" t="str">
        <x:v>buscar e filtrar</x:v>
      </x:c>
      <x:c r="E14" s="33" t="str">
        <x:v>Usuário interno</x:v>
      </x:c>
      <x:c r="F14" s="34" t="str">
        <x:v>Como usuário interno, quero buscar e filtrar para concluir o objetivo operacional descrito pela interface.</x:v>
      </x:c>
      <x:c r="G14" s="34" t="str">
        <x:v>Ao buscar e filtrar, o sistema deve executar useCustomers/useCustomerSummary; busca base no Supabase e filtros de contato, email, B/L e saldo em filterCustomerRowsByClientSideFilters. Persistência esperada: Leitura de customers, customer_contacts, bls e invoices emitidas. Resultado observável: Reseta página; queries ['customers', filters] e ['customers-summary', filters]. Em falha: Erro da consulta exibe erro da lista; resumo pode falhar em query própria.</x:v>
      </x:c>
      <x:c r="H14" s="34" t="str">
        <x:v>Usuário interno ativo; termos/filtros opcionais</x:v>
      </x:c>
      <x:c r="I14" s="34" t="str">
        <x:v>Clientes, setFilterField</x:v>
      </x:c>
      <x:c r="J14" s="34" t="str">
        <x:v>useCustomers/useCustomerSummary; busca base no Supabase e filtros de contato, email, B/L e saldo em filterCustomerRowsByClientSideFilters</x:v>
      </x:c>
      <x:c r="K14" s="34" t="str">
        <x:v>Leitura de customers, customer_contacts, bls e invoices emitidas</x:v>
      </x:c>
      <x:c r="L14" s="34" t="str">
        <x:v>Reseta página; queries ['customers', filters] e ['customers-summary', filters]</x:v>
      </x:c>
      <x:c r="M14" s="34" t="str">
        <x:v>Erro da consulta exibe erro da lista; resumo pode falhar em query própria</x:v>
      </x:c>
      <x:c r="N14" s="34" t="str">
        <x:v>Teste: src/hooks/__tests__/useCustomersFilters.test.ts; Código: src/hooks/useCustomers.ts</x:v>
      </x:c>
      <x:c r="O14" s="34" t="str">
        <x:v>docs/modules/clientes.md</x:v>
      </x:c>
      <x:c r="P14" s="34" t="str">
        <x:v>Automated</x:v>
      </x:c>
      <x:c r="Q14" s="34" t="str">
        <x:v>Passed</x:v>
      </x:c>
      <x:c r="R14" s="34" t="str"/>
      <x:c r="S14" s="34" t="str">
        <x:v>Not Needed</x:v>
      </x:c>
      <x:c r="T14" s="34" t="str">
        <x:v>Not Applicable</x:v>
      </x:c>
      <x:c r="U14" s="34" t="str">
        <x:v>Passed</x:v>
      </x:c>
      <x:c r="V14" s="34" t="str">
        <x:v>npm test -- --maxWorkers=4 — 598 passed, 9 skipped; focused evidence named in baseline</x:v>
      </x:c>
      <x:c r="W14" s="34" t="str"/>
    </x:row>
    <x:row r="15" ht="54" customHeight="1">
      <x:c r="A15" s="33" t="str">
        <x:v>US-014</x:v>
      </x:c>
      <x:c r="B15" s="33" t="str">
        <x:v>clientes</x:v>
      </x:c>
      <x:c r="C15" s="33" t="str">
        <x:v>/clientes</x:v>
      </x:c>
      <x:c r="D15" s="33" t="str">
        <x:v>paginar e ordenar</x:v>
      </x:c>
      <x:c r="E15" s="33" t="str">
        <x:v>Usuário interno</x:v>
      </x:c>
      <x:c r="F15" s="34" t="str">
        <x:v>Como usuário interno, quero paginar e ordenar para concluir o objetivo operacional descrito pela interface.</x:v>
      </x:c>
      <x:c r="G15" s="34" t="str">
        <x:v>Ao paginar e ordenar, o sistema deve executar toggleSort, sortCustomerRows; ordenação não padrão força varredura e paginação client-side. Persistência esperada: Somente leitura. Resultado observável: Atualiza filters.sortKey, sortDirection ou page; nova chave de query. Em falha: Custo cresce com o conjunto quando filtro/ordenação exige processamento local.</x:v>
      </x:c>
      <x:c r="H15" s="34" t="str">
        <x:v>Resultado carregado</x:v>
      </x:c>
      <x:c r="I15" s="34" t="str">
        <x:v>Clientes, botões de cabeçalho e paginação</x:v>
      </x:c>
      <x:c r="J15" s="34" t="str">
        <x:v>toggleSort, sortCustomerRows; ordenação não padrão força varredura e paginação client-side</x:v>
      </x:c>
      <x:c r="K15" s="34" t="str">
        <x:v>Somente leitura</x:v>
      </x:c>
      <x:c r="L15" s="34" t="str">
        <x:v>Atualiza filters.sortKey, sortDirection ou page; nova chave de query</x:v>
      </x:c>
      <x:c r="M15" s="34" t="str">
        <x:v>Custo cresce com o conjunto quando filtro/ordenação exige processamento local</x:v>
      </x:c>
      <x:c r="N15" s="34" t="str">
        <x:v>Teste: src/lib/__tests__/customerTableViewModel.test.ts; Código: src/hooks/useCustomers.ts</x:v>
      </x:c>
      <x:c r="O15" s="34" t="str">
        <x:v>docs/modules/clientes.md</x:v>
      </x:c>
      <x:c r="P15" s="34" t="str">
        <x:v>Automated</x:v>
      </x:c>
      <x:c r="Q15" s="34" t="str">
        <x:v>Passed</x:v>
      </x:c>
      <x:c r="R15" s="34" t="str"/>
      <x:c r="S15" s="34" t="str">
        <x:v>Not Needed</x:v>
      </x:c>
      <x:c r="T15" s="34" t="str">
        <x:v>Not Applicable</x:v>
      </x:c>
      <x:c r="U15" s="34" t="str">
        <x:v>Passed</x:v>
      </x:c>
      <x:c r="V15" s="34" t="str">
        <x:v>npm test -- --maxWorkers=4 — 598 passed, 9 skipped; focused evidence named in baseline</x:v>
      </x:c>
      <x:c r="W15" s="34" t="str"/>
    </x:row>
    <x:row r="16" ht="54" customHeight="1">
      <x:c r="A16" s="33" t="str">
        <x:v>US-015</x:v>
      </x:c>
      <x:c r="B16" s="33" t="str">
        <x:v>clientes</x:v>
      </x:c>
      <x:c r="C16" s="33" t="str">
        <x:v>/clientes</x:v>
      </x:c>
      <x:c r="D16" s="33" t="str">
        <x:v>selecionar linhas</x:v>
      </x:c>
      <x:c r="E16" s="33" t="str">
        <x:v>Usuário interno</x:v>
      </x:c>
      <x:c r="F16" s="34" t="str">
        <x:v>Como usuário interno, quero selecionar linhas para concluir o objetivo operacional descrito pela interface.</x:v>
      </x:c>
      <x:c r="G16" s="34" t="str">
        <x:v>Ao selecionar linhas, o sistema deve executar useRowSelection recebe um escopo formado pelos filtros, ordenação e página; “selecionar todos” atua nos IDs visíveis. Persistência esperada: Nenhuma. Resultado observável: Seleção é limpa ao trocar o escopo ou após exclusão. Em falha: Não mantém IDs invisíveis de outra página/filtro.</x:v>
      </x:c>
      <x:c r="H16" s="34" t="str">
        <x:v>Admin; linhas na página</x:v>
      </x:c>
      <x:c r="I16" s="34" t="str">
        <x:v>Checkboxes e BulkActionsBar</x:v>
      </x:c>
      <x:c r="J16" s="34" t="str">
        <x:v>useRowSelection recebe um escopo formado pelos filtros, ordenação e página; “selecionar todos” atua nos IDs visíveis</x:v>
      </x:c>
      <x:c r="K16" s="34" t="str">
        <x:v>Nenhuma</x:v>
      </x:c>
      <x:c r="L16" s="34" t="str">
        <x:v>Seleção é limpa ao trocar o escopo ou após exclusão</x:v>
      </x:c>
      <x:c r="M16" s="34" t="str">
        <x:v>Não mantém IDs invisíveis de outra página/filtro</x:v>
      </x:c>
      <x:c r="N16" s="34" t="str">
        <x:v>Código: src/pages/Clientes.tsx, src/hooks/useRowSelection.ts · Teste: src/hooks/__tests__/useRowSelection.test.tsx</x:v>
      </x:c>
      <x:c r="O16" s="34" t="str">
        <x:v>docs/modules/clientes.md</x:v>
      </x:c>
      <x:c r="P16" s="34" t="str">
        <x:v>Automated</x:v>
      </x:c>
      <x:c r="Q16" s="34" t="str">
        <x:v>Failed</x:v>
      </x:c>
      <x:c r="R16" s="34" t="str">
        <x:v>DEF-045</x:v>
      </x:c>
      <x:c r="S16" s="34" t="str">
        <x:v>Fixed</x:v>
      </x:c>
      <x:c r="T16" s="34" t="str">
        <x:v>Passed</x:v>
      </x:c>
      <x:c r="U16" s="34" t="str">
        <x:v>Passed</x:v>
      </x:c>
      <x:c r="V16" s="34" t="str">
        <x:v>Post-fix focused tests passed: DEF-045</x:v>
      </x:c>
      <x:c r="W16" s="34" t="str">
        <x:v>Selecao de clientes atravessa paginas e filtros invisiveis | src/hooks/__tests__/useRowSelection.test.tsx</x:v>
      </x:c>
    </x:row>
    <x:row r="17" ht="54" customHeight="1">
      <x:c r="A17" s="33" t="str">
        <x:v>US-016</x:v>
      </x:c>
      <x:c r="B17" s="33" t="str">
        <x:v>clientes</x:v>
      </x:c>
      <x:c r="C17" s="33" t="str">
        <x:v>/clientes</x:v>
      </x:c>
      <x:c r="D17" s="33" t="str">
        <x:v>abrir ficha/faturamento</x:v>
      </x:c>
      <x:c r="E17" s="33" t="str">
        <x:v>Usuário interno</x:v>
      </x:c>
      <x:c r="F17" s="34" t="str">
        <x:v>Como usuário interno, quero abrir ficha/faturamento para concluir o objetivo operacional descrito pela interface.</x:v>
      </x:c>
      <x:c r="G17" s="34" t="str">
        <x:v>Ao abrir ficha/faturamento, o sistema deve executar React Router; buildCustomerBillingUrl. Persistência esperada: Nenhuma. Resultado observável: Navega para /clientes/{cnpj_cpf} ou /faturamento?tab=invoices&amp;customer=.... Em falha: Rota de ficha falha se a chave não coincidir exatamente.</x:v>
      </x:c>
      <x:c r="H17" s="34" t="str">
        <x:v>Linha existente</x:v>
      </x:c>
      <x:c r="I17" s="34" t="str">
        <x:v>Links “Ficha” e ícone financeiro</x:v>
      </x:c>
      <x:c r="J17" s="34" t="str">
        <x:v>React Router; buildCustomerBillingUrl</x:v>
      </x:c>
      <x:c r="K17" s="34" t="str">
        <x:v>Nenhuma</x:v>
      </x:c>
      <x:c r="L17" s="34" t="str">
        <x:v>Navega para /clientes/{cnpj_cpf} ou /faturamento?tab=invoices&amp;customer=...</x:v>
      </x:c>
      <x:c r="M17" s="34" t="str">
        <x:v>Rota de ficha falha se a chave não coincidir exatamente</x:v>
      </x:c>
      <x:c r="N17" s="34" t="str">
        <x:v>Teste: src/lib/__tests__/customerTableViewModel.test.ts; Código: src/pages/Clientes.tsx</x:v>
      </x:c>
      <x:c r="O17" s="34" t="str">
        <x:v>docs/modules/clientes.md</x:v>
      </x:c>
      <x:c r="P17" s="34" t="str">
        <x:v>Automated</x:v>
      </x:c>
      <x:c r="Q17" s="34" t="str">
        <x:v>Passed</x:v>
      </x:c>
      <x:c r="R17" s="34" t="str"/>
      <x:c r="S17" s="34" t="str">
        <x:v>Not Needed</x:v>
      </x:c>
      <x:c r="T17" s="34" t="str">
        <x:v>Not Applicable</x:v>
      </x:c>
      <x:c r="U17" s="34" t="str">
        <x:v>Passed</x:v>
      </x:c>
      <x:c r="V17" s="34" t="str">
        <x:v>npm test -- --maxWorkers=4 — 598 passed, 9 skipped; focused evidence named in baseline</x:v>
      </x:c>
      <x:c r="W17" s="34" t="str"/>
    </x:row>
    <x:row r="18" ht="54" customHeight="1">
      <x:c r="A18" s="33" t="str">
        <x:v>US-017</x:v>
      </x:c>
      <x:c r="B18" s="33" t="str">
        <x:v>clientes</x:v>
      </x:c>
      <x:c r="C18" s="33" t="str">
        <x:v>/clientes</x:v>
      </x:c>
      <x:c r="D18" s="33" t="str">
        <x:v>criar cliente</x:v>
      </x:c>
      <x:c r="E18" s="33" t="str">
        <x:v>Usuário interno</x:v>
      </x:c>
      <x:c r="F18" s="34" t="str">
        <x:v>Como usuário interno, quero criar cliente para concluir o objetivo operacional descrito pela interface.</x:v>
      </x:c>
      <x:c r="G18" s="34" t="str">
        <x:v>Ao criar cliente, o sistema deve executar Zod → createCustomer → RPC create_customer_with_contacts; documento normalizado com onlyDigits. Persistência esperada: Cliente e contatos são inseridos na mesma transação. Resultado observável: Invalida ['customers'] e ['customer-lookup']; navega à ficha. Em falha: Duplicidade, contato inválido ou erro de banco revertem toda a criação.</x:v>
      </x:c>
      <x:c r="H18" s="34" t="str">
        <x:v>CNPJ/CPF com 11/14 dígitos; razão social com 2+ caracteres; contatos parcialmente preenchidos precisam de nome</x:v>
      </x:c>
      <x:c r="I18" s="34" t="str">
        <x:v>Modal “Novo Cliente”, handleCreateCustomer</x:v>
      </x:c>
      <x:c r="J18" s="34" t="str">
        <x:v>Zod → createCustomer → RPC create_customer_with_contacts; documento normalizado com onlyDigits</x:v>
      </x:c>
      <x:c r="K18" s="34" t="str">
        <x:v>Cliente e contatos são inseridos na mesma transação</x:v>
      </x:c>
      <x:c r="L18" s="34" t="str">
        <x:v>Invalida ['customers'] e ['customer-lookup']; navega à ficha</x:v>
      </x:c>
      <x:c r="M18" s="34" t="str">
        <x:v>Duplicidade, contato inválido ou erro de banco revertem toda a criação</x:v>
      </x:c>
      <x:c r="N18" s="34" t="str">
        <x:v>Código: src/pages/Clientes.tsx, src/services/customers.ts, supabase/migrations/20260623062000_create_customer_with_contacts_atomic.sql · Teste: src/services/__tests__/customerCreateAtomic.test.ts</x:v>
      </x:c>
      <x:c r="O18" s="34" t="str">
        <x:v>docs/modules/clientes.md</x:v>
      </x:c>
      <x:c r="P18" s="34" t="str">
        <x:v>Automated</x:v>
      </x:c>
      <x:c r="Q18" s="34" t="str">
        <x:v>Failed</x:v>
      </x:c>
      <x:c r="R18" s="34" t="str">
        <x:v>DEF-046</x:v>
      </x:c>
      <x:c r="S18" s="34" t="str">
        <x:v>Fixed</x:v>
      </x:c>
      <x:c r="T18" s="34" t="str">
        <x:v>Passed</x:v>
      </x:c>
      <x:c r="U18" s="34" t="str">
        <x:v>Passed</x:v>
      </x:c>
      <x:c r="V18" s="34" t="str">
        <x:v>Post-fix focused tests passed: DEF-046</x:v>
      </x:c>
      <x:c r="W18" s="34" t="str">
        <x:v>Criacao de cliente e contatos nao e atomica | src/services/__tests__/customerCreateAtomic.test.ts</x:v>
      </x:c>
    </x:row>
    <x:row r="19" ht="54" customHeight="1">
      <x:c r="A19" s="33" t="str">
        <x:v>US-018</x:v>
      </x:c>
      <x:c r="B19" s="33" t="str">
        <x:v>clientes</x:v>
      </x:c>
      <x:c r="C19" s="33" t="str">
        <x:v>/clientes</x:v>
      </x:c>
      <x:c r="D19" s="33" t="str">
        <x:v>importar planilha</x:v>
      </x:c>
      <x:c r="E19" s="33" t="str">
        <x:v>Usuário interno</x:v>
      </x:c>
      <x:c r="F19" s="34" t="str">
        <x:v>Como usuário interno, quero importar planilha para concluir o objetivo operacional descrito pela interface.</x:v>
      </x:c>
      <x:c r="G19" s="34" t="str">
        <x:v>Ao importar planilha, o sistema deve executar assertUploadSize → import dinâmico de @e965/xlsx → parseCustomerBaseRows → importCustomerBaseRows. Persistência esperada: UPSERT customers; INSERT de novos customer_contacts; UPDATE de bls.customer_id. Resultado observável: Preview com linhas válidas/ignoradas; invalida ['customers'], ['customer-lookup'], ['bls']. Em falha: Arquivo grande, aba/cabeçalho inválido, documento/nome ausente ou falha em qualquer escrita.</x:v>
      </x:c>
      <x:c r="H19" s="34" t="str">
        <x:v>.xlsx, .xls ou .csv dentro do limite; cabeçalhos CNPJ/CPF e Razão Social</x:v>
      </x:c>
      <x:c r="I19" s="34" t="str">
        <x:v>Modal “Importar Base”, handleBaseFile/handleImportBase</x:v>
      </x:c>
      <x:c r="J19" s="34" t="str">
        <x:v>assertUploadSize → import dinâmico de @e965/xlsx → parseCustomerBaseRows → importCustomerBaseRows</x:v>
      </x:c>
      <x:c r="K19" s="34" t="str">
        <x:v>UPSERT customers; INSERT de novos customer_contacts; UPDATE de bls.customer_id</x:v>
      </x:c>
      <x:c r="L19" s="34" t="str">
        <x:v>Preview com linhas válidas/ignoradas; invalida ['customers'], ['customer-lookup'], ['bls']</x:v>
      </x:c>
      <x:c r="M19" s="34" t="str">
        <x:v>Arquivo grande, aba/cabeçalho inválido, documento/nome ausente ou falha em qualquer escrita</x:v>
      </x:c>
      <x:c r="N19" s="34" t="str">
        <x:v>Teste: limite em src/services/__tests__/uploadLimits.test.ts; Código: src/services/customerBase.ts</x:v>
      </x:c>
      <x:c r="O19" s="34" t="str">
        <x:v>docs/modules/clientes.md</x:v>
      </x:c>
      <x:c r="P19" s="34" t="str">
        <x:v>Automated</x:v>
      </x:c>
      <x:c r="Q19" s="34" t="str">
        <x:v>Passed</x:v>
      </x:c>
      <x:c r="R19" s="34" t="str"/>
      <x:c r="S19" s="34" t="str">
        <x:v>Not Needed</x:v>
      </x:c>
      <x:c r="T19" s="34" t="str">
        <x:v>Not Applicable</x:v>
      </x:c>
      <x:c r="U19" s="34" t="str">
        <x:v>Passed</x:v>
      </x:c>
      <x:c r="V19" s="34" t="str">
        <x:v>npm test -- --maxWorkers=4 — 598 passed, 9 skipped; focused evidence named in baseline</x:v>
      </x:c>
      <x:c r="W19" s="34" t="str"/>
    </x:row>
    <x:row r="20" ht="54" customHeight="1">
      <x:c r="A20" s="33" t="str">
        <x:v>US-019</x:v>
      </x:c>
      <x:c r="B20" s="33" t="str">
        <x:v>clientes</x:v>
      </x:c>
      <x:c r="C20" s="33" t="str">
        <x:v>/clientes</x:v>
      </x:c>
      <x:c r="D20" s="33" t="str">
        <x:v>exportar conjunto filtrado</x:v>
      </x:c>
      <x:c r="E20" s="33" t="str">
        <x:v>Usuário interno</x:v>
      </x:c>
      <x:c r="F20" s="34" t="str">
        <x:v>Como usuário interno, quero exportar conjunto filtrado para concluir o objetivo operacional descrito pela interface.</x:v>
      </x:c>
      <x:c r="G20" s="34" t="str">
        <x:v>Ao exportar conjunto filtrado, o sistema deve executar Busca todos os clientes por nome, aplica filtros client-side e exportCustomerBaseWorkbook. Persistência esperada: Leitura de customers, customer_contacts, bls, invoices; download XLSX local. Resultado observável: Não altera cache; exporta todas as páginas filtradas, não só a página corrente. Em falha: Toast genérico; veja divergência sobre busca/ordenação/email.</x:v>
      </x:c>
      <x:c r="H20" s="34" t="str">
        <x:v>Consulta disponível</x:v>
      </x:c>
      <x:c r="I20" s="34" t="str">
        <x:v>handleExportBase</x:v>
      </x:c>
      <x:c r="J20" s="34" t="str">
        <x:v>Busca todos os clientes por nome, aplica filtros client-side e exportCustomerBaseWorkbook</x:v>
      </x:c>
      <x:c r="K20" s="34" t="str">
        <x:v>Leitura de customers, customer_contacts, bls, invoices; download XLSX local</x:v>
      </x:c>
      <x:c r="L20" s="34" t="str">
        <x:v>Não altera cache; exporta todas as páginas filtradas, não só a página corrente</x:v>
      </x:c>
      <x:c r="M20" s="34" t="str">
        <x:v>Toast genérico; veja divergência sobre busca/ordenação/email</x:v>
      </x:c>
      <x:c r="N20" s="34" t="str">
        <x:v>Código: src/pages/Clientes.tsx, src/services/exports.ts</x:v>
      </x:c>
      <x:c r="O20" s="34" t="str">
        <x:v>docs/modules/clientes.md</x:v>
      </x:c>
      <x:c r="P20" s="34" t="str">
        <x:v>Runtime</x:v>
      </x:c>
      <x:c r="Q20" s="34" t="str">
        <x:v>Failed</x:v>
      </x:c>
      <x:c r="R20" s="34" t="str">
        <x:v>DEF-029</x:v>
      </x:c>
      <x:c r="S20" s="34" t="str">
        <x:v>Fixed</x:v>
      </x:c>
      <x:c r="T20" s="34" t="str">
        <x:v>Passed</x:v>
      </x:c>
      <x:c r="U20" s="34" t="str">
        <x:v>Passed</x:v>
      </x:c>
      <x:c r="V20" s="34" t="str">
        <x:v>Post-fix focused tests passed: DEF-029</x:v>
      </x:c>
      <x:c r="W20" s="34" t="str">
        <x:v>Exportação de clientes não espelha filtros, ordenação e emails da tela</x:v>
      </x:c>
    </x:row>
    <x:row r="21" ht="54" customHeight="1">
      <x:c r="A21" s="33" t="str">
        <x:v>US-020</x:v>
      </x:c>
      <x:c r="B21" s="33" t="str">
        <x:v>clientes</x:v>
      </x:c>
      <x:c r="C21" s="33" t="str">
        <x:v>/clientes</x:v>
      </x:c>
      <x:c r="D21" s="33" t="str">
        <x:v>inspecionar dependências e excluir em massa</x:v>
      </x:c>
      <x:c r="E21" s="33" t="str">
        <x:v>Usuário interno</x:v>
      </x:c>
      <x:c r="F21" s="34" t="str">
        <x:v>Como usuário interno, quero inspecionar dependências e excluir em massa para concluir o objetivo operacional descrito pela interface.</x:v>
      </x:c>
      <x:c r="G21" s="34" t="str">
        <x:v>Ao inspecionar dependências e excluir em massa, o sistema deve executar checkCustomerDependencies gera deletáveis e bloqueados; confirmação; deleteCustomers. Persistência esperada: SELECT em bls, invoices, demurrage_invoices, bl_receivables, billing_batches; DELETE customer_contacts, customer_rate_overrides, customers; INSERT best-effort em audit_logs. Resultado observável: Exclui apenas IDs liberados; limpa seleção; invalida customers, customers-summary, customer-lookup. Em falha: Todos bloqueados, cancelamento, erro de leitura/delete; falha de auditoria só gera telemetria.</x:v>
      </x:c>
      <x:c r="H21" s="34" t="str">
        <x:v>Admin; ao menos um ID selecionado</x:v>
      </x:c>
      <x:c r="I21" s="34" t="str">
        <x:v>runCustomerDelete/BulkActionsBar</x:v>
      </x:c>
      <x:c r="J21" s="34" t="str">
        <x:v>checkCustomerDependencies gera deletáveis e bloqueados; confirmação; deleteCustomers</x:v>
      </x:c>
      <x:c r="K21" s="34" t="str">
        <x:v>SELECT em bls, invoices, demurrage_invoices, bl_receivables, billing_batches; DELETE customer_contacts, customer_rate_overrides, customers; INSERT best-effort em audit_logs</x:v>
      </x:c>
      <x:c r="L21" s="34" t="str">
        <x:v>Exclui apenas IDs liberados; limpa seleção; invalida customers, customers-summary, customer-lookup</x:v>
      </x:c>
      <x:c r="M21" s="34" t="str">
        <x:v>Todos bloqueados, cancelamento, erro de leitura/delete; falha de auditoria só gera telemetria</x:v>
      </x:c>
      <x:c r="N21" s="34" t="str">
        <x:v>Teste: src/services/__tests__/customers.delete.test.ts; Código: src/services/deleteAudit.ts</x:v>
      </x:c>
      <x:c r="O21" s="34" t="str">
        <x:v>docs/modules/clientes.md</x:v>
      </x:c>
      <x:c r="P21" s="34" t="str">
        <x:v>Automated</x:v>
      </x:c>
      <x:c r="Q21" s="34" t="str">
        <x:v>Passed</x:v>
      </x:c>
      <x:c r="R21" s="34" t="str"/>
      <x:c r="S21" s="34" t="str">
        <x:v>Not Needed</x:v>
      </x:c>
      <x:c r="T21" s="34" t="str">
        <x:v>Not Applicable</x:v>
      </x:c>
      <x:c r="U21" s="34" t="str">
        <x:v>Passed</x:v>
      </x:c>
      <x:c r="V21" s="34" t="str">
        <x:v>npm test -- --maxWorkers=4 — 598 passed, 9 skipped; focused evidence named in baseline</x:v>
      </x:c>
      <x:c r="W21" s="34" t="str"/>
    </x:row>
    <x:row r="22" ht="54" customHeight="1">
      <x:c r="A22" s="33" t="str">
        <x:v>US-021</x:v>
      </x:c>
      <x:c r="B22" s="33" t="str">
        <x:v>clientes</x:v>
      </x:c>
      <x:c r="C22" s="33" t="str">
        <x:v>/clientes/:cnpj</x:v>
      </x:c>
      <x:c r="D22" s="33" t="str">
        <x:v>carregar ficha completa</x:v>
      </x:c>
      <x:c r="E22" s="33" t="str">
        <x:v>Usuário interno</x:v>
      </x:c>
      <x:c r="F22" s="34" t="str">
        <x:v>Como usuário interno, quero carregar ficha completa para concluir o objetivo operacional descrito pela interface.</x:v>
      </x:c>
      <x:c r="G22" s="34" t="str">
        <x:v>Ao carregar ficha completa, o sistema deve executar Query mestre/contatos/B/Ls → query de invoices → getCustomerPortalAccount. Persistência esperada: SELECT em customers, customer_contacts, bls, invoices; RPC get_customer_portal_account. Resultado observável: Queries ['customer-detail', cnpj] e ['customer-portal-account', id]. Em falha: Permissão de invoices vira lista vazia com invoices_access_denied; demais erros caem no estado genérico.</x:v>
      </x:c>
      <x:c r="H22" s="34" t="str">
        <x:v>:cnpj presente e igual ao documento persistido</x:v>
      </x:c>
      <x:c r="I22" s="34" t="str">
        <x:v>useCustomerDetail; query da Conta de Portal para admin</x:v>
      </x:c>
      <x:c r="J22" s="34" t="str">
        <x:v>Query mestre/contatos/B/Ls → query de invoices → getCustomerPortalAccount</x:v>
      </x:c>
      <x:c r="K22" s="34" t="str">
        <x:v>SELECT em customers, customer_contacts, bls, invoices; RPC get_customer_portal_account</x:v>
      </x:c>
      <x:c r="L22" s="34" t="str">
        <x:v>Queries ['customer-detail', cnpj] e ['customer-portal-account', id]</x:v>
      </x:c>
      <x:c r="M22" s="34" t="str">
        <x:v>Permissão de invoices vira lista vazia com invoices_access_denied; demais erros caem no estado genérico</x:v>
      </x:c>
      <x:c r="N22" s="34" t="str">
        <x:v>Código: src/hooks/useCustomers.ts, src/pages/ClienteFicha.tsx</x:v>
      </x:c>
      <x:c r="O22" s="34" t="str">
        <x:v>docs/modules/clientes.md</x:v>
      </x:c>
      <x:c r="P22" s="34" t="str">
        <x:v>Runtime</x:v>
      </x:c>
      <x:c r="Q22" s="34" t="str">
        <x:v>Failed</x:v>
      </x:c>
      <x:c r="R22" s="34" t="str">
        <x:v>DEF-009</x:v>
      </x:c>
      <x:c r="S22" s="34" t="str">
        <x:v>Fixed</x:v>
      </x:c>
      <x:c r="T22" s="34" t="str">
        <x:v>Passed</x:v>
      </x:c>
      <x:c r="U22" s="34" t="str">
        <x:v>Passed</x:v>
      </x:c>
      <x:c r="V22" s="34" t="str">
        <x:v>Post-fix focused tests passed: DEF-009</x:v>
      </x:c>
      <x:c r="W22" s="34" t="str">
        <x:v>Erro de provisionamento orienta aplicar migration obsoleta</x:v>
      </x:c>
    </x:row>
    <x:row r="23" ht="54" customHeight="1">
      <x:c r="A23" s="33" t="str">
        <x:v>US-022</x:v>
      </x:c>
      <x:c r="B23" s="33" t="str">
        <x:v>clientes</x:v>
      </x:c>
      <x:c r="C23" s="33" t="str">
        <x:v>/clientes/:cnpj</x:v>
      </x:c>
      <x:c r="D23" s="33" t="str">
        <x:v>editar mestre</x:v>
      </x:c>
      <x:c r="E23" s="33" t="str">
        <x:v>Usuário interno</x:v>
      </x:c>
      <x:c r="F23" s="34" t="str">
        <x:v>Como usuário interno, quero editar mestre para concluir o objetivo operacional descrito pela interface.</x:v>
      </x:c>
      <x:c r="G23" s="34" t="str">
        <x:v>Ao editar mestre, o sistema deve executar updateCustomerWithAudit calcula apenas campos alterados. Persistência esperada: UPDATE customers, depois INSERT em audit_logs por campo. Resultado observável: Invalida ['customer-detail', cnpj] e ['customers']; limpa justificativa. Em falha: Nenhuma alteração gera aviso; update e auditoria não estão na mesma transação.</x:v>
      </x:c>
      <x:c r="H23" s="34" t="str">
        <x:v>Cliente carregado; usuário presente; justificativa não vazia</x:v>
      </x:c>
      <x:c r="I23" s="34" t="str">
        <x:v>handleSaveCustomer</x:v>
      </x:c>
      <x:c r="J23" s="34" t="str">
        <x:v>updateCustomerWithAudit calcula apenas campos alterados</x:v>
      </x:c>
      <x:c r="K23" s="34" t="str">
        <x:v>UPDATE customers, depois INSERT em audit_logs por campo</x:v>
      </x:c>
      <x:c r="L23" s="34" t="str">
        <x:v>Invalida ['customer-detail', cnpj] e ['customers']; limpa justificativa</x:v>
      </x:c>
      <x:c r="M23" s="34" t="str">
        <x:v>Nenhuma alteração gera aviso; update e auditoria não estão na mesma transação</x:v>
      </x:c>
      <x:c r="N23" s="34" t="str">
        <x:v>Código: src/pages/ClienteFicha.tsx, src/services/customers.ts</x:v>
      </x:c>
      <x:c r="O23" s="34" t="str">
        <x:v>docs/modules/clientes.md</x:v>
      </x:c>
      <x:c r="P23" s="34" t="str">
        <x:v>Runtime</x:v>
      </x:c>
      <x:c r="Q23" s="34" t="str">
        <x:v>Failed</x:v>
      </x:c>
      <x:c r="R23" s="34" t="str">
        <x:v>DEF-023</x:v>
      </x:c>
      <x:c r="S23" s="34" t="str">
        <x:v>Fixed</x:v>
      </x:c>
      <x:c r="T23" s="34" t="str">
        <x:v>Passed</x:v>
      </x:c>
      <x:c r="U23" s="34" t="str">
        <x:v>Passed</x:v>
      </x:c>
      <x:c r="V23" s="34" t="str">
        <x:v>Post-fix focused tests passed: DEF-023</x:v>
      </x:c>
      <x:c r="W23" s="34" t="str">
        <x:v>Edição de cliente pode persistir sem a auditoria obrigatória | Validated against PostgreSQL 17 disposable fixtures.</x:v>
      </x:c>
    </x:row>
    <x:row r="24" ht="54" customHeight="1">
      <x:c r="A24" s="33" t="str">
        <x:v>US-023</x:v>
      </x:c>
      <x:c r="B24" s="33" t="str">
        <x:v>clientes</x:v>
      </x:c>
      <x:c r="C24" s="33" t="str">
        <x:v>/clientes/:cnpj</x:v>
      </x:c>
      <x:c r="D24" s="33" t="str">
        <x:v>criar/editar contato</x:v>
      </x:c>
      <x:c r="E24" s="33" t="str">
        <x:v>Usuário interno</x:v>
      </x:c>
      <x:c r="F24" s="34" t="str">
        <x:v>Como usuário interno, quero criar/editar contato para concluir o objetivo operacional descrito pela interface.</x:v>
      </x:c>
      <x:c r="G24" s="34" t="str">
        <x:v>Ao criar/editar contato, o sistema deve executar upsertCustomerContact decide INSERT/UPDATE pelo contact.id. Persistência esperada: INSERT/UPDATE customer_contacts. Resultado observável: Invalida ['customer-detail', cnpj]; limpa formulário. Em falha: Toast genérico em falha.</x:v>
      </x:c>
      <x:c r="H24" s="34" t="str">
        <x:v>Cliente carregado; nome obrigatório</x:v>
      </x:c>
      <x:c r="I24" s="34" t="str">
        <x:v>handleSaveContact</x:v>
      </x:c>
      <x:c r="J24" s="34" t="str">
        <x:v>upsertCustomerContact decide INSERT/UPDATE pelo contact.id</x:v>
      </x:c>
      <x:c r="K24" s="34" t="str">
        <x:v>INSERT/UPDATE customer_contacts</x:v>
      </x:c>
      <x:c r="L24" s="34" t="str">
        <x:v>Invalida ['customer-detail', cnpj]; limpa formulário</x:v>
      </x:c>
      <x:c r="M24" s="34" t="str">
        <x:v>Toast genérico em falha</x:v>
      </x:c>
      <x:c r="N24" s="34" t="str">
        <x:v>Código: src/pages/ClienteFicha.tsx, src/services/customers.ts · Teste: src/pages/__tests__/ClienteFicha.behavior.test.tsx</x:v>
      </x:c>
      <x:c r="O24" s="34" t="str">
        <x:v>docs/modules/clientes.md</x:v>
      </x:c>
      <x:c r="P24" s="34" t="str">
        <x:v>Automated</x:v>
      </x:c>
      <x:c r="Q24" s="34" t="str">
        <x:v>Passed</x:v>
      </x:c>
      <x:c r="R24" s="34" t="str"/>
      <x:c r="S24" s="34" t="str">
        <x:v>Not Needed</x:v>
      </x:c>
      <x:c r="T24" s="34" t="str">
        <x:v>Not Applicable</x:v>
      </x:c>
      <x:c r="U24" s="34" t="str">
        <x:v>Passed</x:v>
      </x:c>
      <x:c r="V24" s="34" t="str">
        <x:v>Component behavior test: edits contact data and invalidates customer detail.</x:v>
      </x:c>
      <x:c r="W24" s="34" t="str">
        <x:v>src/pages/__tests__/ClienteFicha.behavior.test.tsx</x:v>
      </x:c>
    </x:row>
    <x:row r="25" ht="54" customHeight="1">
      <x:c r="A25" s="33" t="str">
        <x:v>US-024</x:v>
      </x:c>
      <x:c r="B25" s="33" t="str">
        <x:v>clientes</x:v>
      </x:c>
      <x:c r="C25" s="33" t="str">
        <x:v>/clientes/:cnpj</x:v>
      </x:c>
      <x:c r="D25" s="33" t="str">
        <x:v>remover contato</x:v>
      </x:c>
      <x:c r="E25" s="33" t="str">
        <x:v>Usuário interno</x:v>
      </x:c>
      <x:c r="F25" s="34" t="str">
        <x:v>Como usuário interno, quero remover contato para concluir o objetivo operacional descrito pela interface.</x:v>
      </x:c>
      <x:c r="G25" s="34" t="str">
        <x:v>Ao remover contato, o sistema deve executar deleteCustomerContact. Persistência esperada: DELETE customer_contacts por ID. Resultado observável: Invalida ['customer-detail', cnpj]. Em falha: Cancelamento ou erro do banco.</x:v>
      </x:c>
      <x:c r="H25" s="34" t="str">
        <x:v>Confirmação explícita</x:v>
      </x:c>
      <x:c r="I25" s="34" t="str">
        <x:v>handleDeleteContact</x:v>
      </x:c>
      <x:c r="J25" s="34" t="str">
        <x:v>deleteCustomerContact</x:v>
      </x:c>
      <x:c r="K25" s="34" t="str">
        <x:v>DELETE customer_contacts por ID</x:v>
      </x:c>
      <x:c r="L25" s="34" t="str">
        <x:v>Invalida ['customer-detail', cnpj]</x:v>
      </x:c>
      <x:c r="M25" s="34" t="str">
        <x:v>Cancelamento ou erro do banco</x:v>
      </x:c>
      <x:c r="N25" s="34" t="str">
        <x:v>Código: src/pages/ClienteFicha.tsx, src/services/customers.ts · Teste: src/pages/__tests__/ClienteFicha.behavior.test.tsx</x:v>
      </x:c>
      <x:c r="O25" s="34" t="str">
        <x:v>docs/modules/clientes.md</x:v>
      </x:c>
      <x:c r="P25" s="34" t="str">
        <x:v>Automated</x:v>
      </x:c>
      <x:c r="Q25" s="34" t="str">
        <x:v>Passed</x:v>
      </x:c>
      <x:c r="R25" s="34" t="str"/>
      <x:c r="S25" s="34" t="str">
        <x:v>Not Needed</x:v>
      </x:c>
      <x:c r="T25" s="34" t="str">
        <x:v>Not Applicable</x:v>
      </x:c>
      <x:c r="U25" s="34" t="str">
        <x:v>Passed</x:v>
      </x:c>
      <x:c r="V25" s="34" t="str">
        <x:v>Component behavior test: explicit confirmation precedes contact deletion.</x:v>
      </x:c>
      <x:c r="W25" s="34" t="str">
        <x:v>src/pages/__tests__/ClienteFicha.behavior.test.tsx</x:v>
      </x:c>
    </x:row>
    <x:row r="26" ht="54" customHeight="1">
      <x:c r="A26" s="33" t="str">
        <x:v>US-025</x:v>
      </x:c>
      <x:c r="B26" s="33" t="str">
        <x:v>clientes</x:v>
      </x:c>
      <x:c r="C26" s="33" t="str">
        <x:v>/clientes/:cnpj</x:v>
      </x:c>
      <x:c r="D26" s="33" t="str">
        <x:v>gravar Conta de Portal inativa</x:v>
      </x:c>
      <x:c r="E26" s="33" t="str">
        <x:v>Usuário interno</x:v>
      </x:c>
      <x:c r="F26" s="34" t="str">
        <x:v>Como usuário interno, quero gravar conta de portal inativa para concluir o objetivo operacional descrito pela interface.</x:v>
      </x:c>
      <x:c r="G26" s="34" t="str">
        <x:v>Ao gravar conta de portal inativa, o sistema deve executar upsertCustomerPortalAccount({ active:false }). Persistência esperada: RPC upsert_customer_portal_account; tabela customer_portal_accounts. Resultado observável: Conta permanece inativa até vínculo Auth; invalidação ocorre ao fim do fluxo. Em falha: 42501, senha/documento inválido, RPC ausente ou banco indisponível.</x:v>
      </x:c>
      <x:c r="H26" s="34" t="str">
        <x:v>Admin ativo; cliente carregado; email; senha com 8+ caracteres; login documental válido se informado</x:v>
      </x:c>
      <x:c r="I26" s="34" t="str">
        <x:v>savePortalMutation</x:v>
      </x:c>
      <x:c r="J26" s="34" t="str">
        <x:v>upsertCustomerPortalAccount({ active:false })</x:v>
      </x:c>
      <x:c r="K26" s="34" t="str">
        <x:v>RPC upsert_customer_portal_account; tabela customer_portal_accounts</x:v>
      </x:c>
      <x:c r="L26" s="34" t="str">
        <x:v>Conta permanece inativa até vínculo Auth; invalidação ocorre ao fim do fluxo</x:v>
      </x:c>
      <x:c r="M26" s="34" t="str">
        <x:v>42501, senha/documento inválido, RPC ausente ou banco indisponível</x:v>
      </x:c>
      <x:c r="N26" s="34" t="str">
        <x:v>Teste: src/services/__tests__/customers.test.ts; Teste de contrato SQL: src/services/__tests__/reviewGateHardeningMigration.test.ts</x:v>
      </x:c>
      <x:c r="O26" s="34" t="str">
        <x:v>docs/modules/clientes.md</x:v>
      </x:c>
      <x:c r="P26" s="34" t="str">
        <x:v>Automated — SQL contract</x:v>
      </x:c>
      <x:c r="Q26" s="34" t="str">
        <x:v>Passed</x:v>
      </x:c>
      <x:c r="R26" s="34" t="str"/>
      <x:c r="S26" s="34" t="str">
        <x:v>Not Needed</x:v>
      </x:c>
      <x:c r="T26" s="34" t="str">
        <x:v>Not Applicable</x:v>
      </x:c>
      <x:c r="U26" s="34" t="str">
        <x:v>Passed</x:v>
      </x:c>
      <x:c r="V26" s="34" t="str">
        <x:v>npm test -- --maxWorkers=4 — 598 passed, 9 skipped; focused evidence named in baseline</x:v>
      </x:c>
      <x:c r="W26" s="34" t="str"/>
    </x:row>
    <x:row r="27" ht="54" customHeight="1">
      <x:c r="A27" s="33" t="str">
        <x:v>US-026</x:v>
      </x:c>
      <x:c r="B27" s="33" t="str">
        <x:v>clientes</x:v>
      </x:c>
      <x:c r="C27" s="33" t="str">
        <x:v>/clientes/:cnpj</x:v>
      </x:c>
      <x:c r="D27" s="33" t="str">
        <x:v>provisionar usuário Auth</x:v>
      </x:c>
      <x:c r="E27" s="33" t="str">
        <x:v>Administrador</x:v>
      </x:c>
      <x:c r="F27" s="34" t="str">
        <x:v>Como administrador, quero provisionar usuário auth para concluir o objetivo operacional descrito pela interface.</x:v>
      </x:c>
      <x:c r="G27" s="34" t="str">
        <x:v>Ao provisionar usuário auth, o sistema deve executar supabase.functions.invoke('provision-portal-user'); Function valida JWT/perfil/origem, cria ou atualiza Auth e vincula a conta. Persistência esperada: Supabase Auth Admin; UPDATE customer_portal_accounts.auth_user_id e portal_email; RPC check_provision_rate_limit. Resultado observável: Retorna auth_user_id; erros HTTP têm corpo extraído para a UI. Em falha: Origem/chamador proibido, rate limit, email inválido/duplicado, senha curta, conta ausente, Auth ou vínculo falho.</x:v>
      </x:c>
      <x:c r="H27" s="34" t="str">
        <x:v>Conta inativa criada; admin autenticado; origem permitida; rate limit disponível</x:v>
      </x:c>
      <x:c r="I27" s="34" t="str">
        <x:v>provisionPortalAuthUser</x:v>
      </x:c>
      <x:c r="J27" s="34" t="str">
        <x:v>supabase.functions.invoke('provision-portal-user'); Function valida JWT/perfil/origem, cria ou atualiza Auth e vincula a conta</x:v>
      </x:c>
      <x:c r="K27" s="34" t="str">
        <x:v>Supabase Auth Admin; UPDATE customer_portal_accounts.auth_user_id e portal_email; RPC check_provision_rate_limit</x:v>
      </x:c>
      <x:c r="L27" s="34" t="str">
        <x:v>Retorna auth_user_id; erros HTTP têm corpo extraído para a UI</x:v>
      </x:c>
      <x:c r="M27" s="34" t="str">
        <x:v>Origem/chamador proibido, rate limit, email inválido/duplicado, senha curta, conta ausente, Auth ou vínculo falho</x:v>
      </x:c>
      <x:c r="N27" s="34" t="str">
        <x:v>Teste: sequência mockada em src/services/__tests__/customers.test.ts; Código: supabase/functions/provision-portal-user/index.ts</x:v>
      </x:c>
      <x:c r="O27" s="34" t="str">
        <x:v>docs/modules/clientes.md</x:v>
      </x:c>
      <x:c r="P27" s="34" t="str">
        <x:v>Automated</x:v>
      </x:c>
      <x:c r="Q27" s="34" t="str">
        <x:v>Passed</x:v>
      </x:c>
      <x:c r="R27" s="34" t="str"/>
      <x:c r="S27" s="34" t="str">
        <x:v>Not Needed</x:v>
      </x:c>
      <x:c r="T27" s="34" t="str">
        <x:v>Not Applicable</x:v>
      </x:c>
      <x:c r="U27" s="34" t="str">
        <x:v>Passed</x:v>
      </x:c>
      <x:c r="V27" s="34" t="str">
        <x:v>npm test -- --maxWorkers=4 — 598 passed, 9 skipped; focused evidence named in baseline</x:v>
      </x:c>
      <x:c r="W27" s="34" t="str"/>
    </x:row>
    <x:row r="28" ht="54" customHeight="1">
      <x:c r="A28" s="33" t="str">
        <x:v>US-027</x:v>
      </x:c>
      <x:c r="B28" s="33" t="str">
        <x:v>clientes</x:v>
      </x:c>
      <x:c r="C28" s="33" t="str">
        <x:v>/clientes/:cnpj</x:v>
      </x:c>
      <x:c r="D28" s="33" t="str">
        <x:v>verificar vínculo e ativar</x:v>
      </x:c>
      <x:c r="E28" s="33" t="str">
        <x:v>Usuário interno</x:v>
      </x:c>
      <x:c r="F28" s="34" t="str">
        <x:v>Como usuário interno, quero verificar vínculo e ativar para concluir o objetivo operacional descrito pela interface.</x:v>
      </x:c>
      <x:c r="G28" s="34" t="str">
        <x:v>Ao verificar vínculo e ativar, o sistema deve executar Verificação explícita do retorno → setCustomerPortalAccountActive. Persistência esperada: RPC set_customer_portal_account_active; UPDATE customer_portal_accounts.active. Resultado observável: Invalida ['customer-portal-account', id]; limpa senha. Em falha: Ausência de auth_user_id interrompe antes da ativação; RPC também rejeita ativação sem vínculo.</x:v>
      </x:c>
      <x:c r="H28" s="34" t="str">
        <x:v>Edge Function retornou auth_user_id; admin</x:v>
      </x:c>
      <x:c r="I28" s="34" t="str">
        <x:v>savePortalMutation</x:v>
      </x:c>
      <x:c r="J28" s="34" t="str">
        <x:v>Verificação explícita do retorno → setCustomerPortalAccountActive</x:v>
      </x:c>
      <x:c r="K28" s="34" t="str">
        <x:v>RPC set_customer_portal_account_active; UPDATE customer_portal_accounts.active</x:v>
      </x:c>
      <x:c r="L28" s="34" t="str">
        <x:v>Invalida ['customer-portal-account', id]; limpa senha</x:v>
      </x:c>
      <x:c r="M28" s="34" t="str">
        <x:v>Ausência de auth_user_id interrompe antes da ativação; RPC também rejeita ativação sem vínculo</x:v>
      </x:c>
      <x:c r="N28" s="34" t="str">
        <x:v>Teste: src/services/__tests__/customers.test.ts; Teste de contrato SQL: src/services/__tests__/reviewGateHardeningMigration.test.ts</x:v>
      </x:c>
      <x:c r="O28" s="34" t="str">
        <x:v>docs/modules/clientes.md</x:v>
      </x:c>
      <x:c r="P28" s="34" t="str">
        <x:v>Automated — SQL contract</x:v>
      </x:c>
      <x:c r="Q28" s="34" t="str">
        <x:v>Passed</x:v>
      </x:c>
      <x:c r="R28" s="34" t="str"/>
      <x:c r="S28" s="34" t="str">
        <x:v>Not Needed</x:v>
      </x:c>
      <x:c r="T28" s="34" t="str">
        <x:v>Not Applicable</x:v>
      </x:c>
      <x:c r="U28" s="34" t="str">
        <x:v>Passed</x:v>
      </x:c>
      <x:c r="V28" s="34" t="str">
        <x:v>npm test -- --maxWorkers=4 — 598 passed, 9 skipped; focused evidence named in baseline</x:v>
      </x:c>
      <x:c r="W28" s="34" t="str"/>
    </x:row>
    <x:row r="29" ht="54" customHeight="1">
      <x:c r="A29" s="33" t="str">
        <x:v>US-028</x:v>
      </x:c>
      <x:c r="B29" s="33" t="str">
        <x:v>clientes</x:v>
      </x:c>
      <x:c r="C29" s="33" t="str">
        <x:v>/clientes/:cnpj</x:v>
      </x:c>
      <x:c r="D29" s="33" t="str">
        <x:v>ativar/desativar conta existente</x:v>
      </x:c>
      <x:c r="E29" s="33" t="str">
        <x:v>Usuário interno</x:v>
      </x:c>
      <x:c r="F29" s="34" t="str">
        <x:v>Como usuário interno, quero ativar/desativar conta existente para concluir o objetivo operacional descrito pela interface.</x:v>
      </x:c>
      <x:c r="G29" s="34" t="str">
        <x:v>Ao ativar/desativar conta existente, o sistema deve executar togglePortalActiveMutation → RPC de status. Persistência esperada: RPC set_customer_portal_account_active. Resultado observável: Invalida ['customer-portal-account', id]; atualiza estado local. Em falha: Ativação sem auth_user_id, permissão ou transporte.</x:v>
      </x:c>
      <x:c r="H29" s="34" t="str">
        <x:v>Admin; conta já provisionada</x:v>
      </x:c>
      <x:c r="I29" s="34" t="str">
        <x:v>handleTogglePortalActive</x:v>
      </x:c>
      <x:c r="J29" s="34" t="str">
        <x:v>togglePortalActiveMutation → RPC de status</x:v>
      </x:c>
      <x:c r="K29" s="34" t="str">
        <x:v>RPC set_customer_portal_account_active</x:v>
      </x:c>
      <x:c r="L29" s="34" t="str">
        <x:v>Invalida ['customer-portal-account', id]; atualiza estado local</x:v>
      </x:c>
      <x:c r="M29" s="34" t="str">
        <x:v>Ativação sem auth_user_id, permissão ou transporte</x:v>
      </x:c>
      <x:c r="N29" s="34" t="str">
        <x:v>Código: src/pages/ClienteFicha.tsx, src/services/customers.ts; Teste de contrato SQL: src/services/__tests__/reviewGateHardeningMigration.test.ts</x:v>
      </x:c>
      <x:c r="O29" s="34" t="str">
        <x:v>docs/modules/clientes.md</x:v>
      </x:c>
      <x:c r="P29" s="34" t="str">
        <x:v>Automated — SQL contract</x:v>
      </x:c>
      <x:c r="Q29" s="34" t="str">
        <x:v>Passed</x:v>
      </x:c>
      <x:c r="R29" s="34" t="str"/>
      <x:c r="S29" s="34" t="str">
        <x:v>Not Needed</x:v>
      </x:c>
      <x:c r="T29" s="34" t="str">
        <x:v>Not Applicable</x:v>
      </x:c>
      <x:c r="U29" s="34" t="str">
        <x:v>Passed</x:v>
      </x:c>
      <x:c r="V29" s="34" t="str">
        <x:v>npm test -- --maxWorkers=4 — 598 passed, 9 skipped; focused evidence named in baseline</x:v>
      </x:c>
      <x:c r="W29" s="34" t="str"/>
    </x:row>
    <x:row r="30" ht="54" customHeight="1">
      <x:c r="A30" s="33" t="str">
        <x:v>US-029</x:v>
      </x:c>
      <x:c r="B30" s="33" t="str">
        <x:v>clientes</x:v>
      </x:c>
      <x:c r="C30" s="33" t="str">
        <x:v>/clientes/:cnpj</x:v>
      </x:c>
      <x:c r="D30" s="33" t="str">
        <x:v>rota inválida/não encontrada</x:v>
      </x:c>
      <x:c r="E30" s="33" t="str">
        <x:v>Usuário interno</x:v>
      </x:c>
      <x:c r="F30" s="34" t="str">
        <x:v>Como usuário interno, quero rota inválida/não encontrada para concluir o objetivo operacional descrito pela interface.</x:v>
      </x:c>
      <x:c r="G30" s="34" t="str">
        <x:v>Ao rota inválida/não encontrada, o sistema deve executar useCustomerDetail só habilita com valor; consulta por igualdade exata. Persistência esperada: SELECT customers por cnpj_cpf. Resultado observável: Nenhuma navegação automática. Em falha: Ausência/PGRST116 mostra “Cliente não encontrado”; demais erros mostram falha de consulta distinta.</x:v>
      </x:c>
      <x:c r="H30" s="34" t="str">
        <x:v>Documento ausente, formatado ou inexistente</x:v>
      </x:c>
      <x:c r="I30" s="34" t="str">
        <x:v>Estado terminal de ClienteFicha</x:v>
      </x:c>
      <x:c r="J30" s="34" t="str">
        <x:v>useCustomerDetail só habilita com valor; consulta por igualdade exata</x:v>
      </x:c>
      <x:c r="K30" s="34" t="str">
        <x:v>SELECT customers por cnpj_cpf</x:v>
      </x:c>
      <x:c r="L30" s="34" t="str">
        <x:v>Nenhuma navegação automática</x:v>
      </x:c>
      <x:c r="M30" s="34" t="str">
        <x:v>Ausência/PGRST116 mostra “Cliente não encontrado”; demais erros mostram falha de consulta distinta</x:v>
      </x:c>
      <x:c r="N30" s="34" t="str">
        <x:v>Código: src/pages/ClienteFicha.tsx, src/hooks/useCustomers.ts · Teste: src/pages/__tests__/ClienteFicha.behavior.test.tsx</x:v>
      </x:c>
      <x:c r="O30" s="34" t="str">
        <x:v>docs/modules/clientes.md</x:v>
      </x:c>
      <x:c r="P30" s="34" t="str">
        <x:v>Automated</x:v>
      </x:c>
      <x:c r="Q30" s="34" t="str">
        <x:v>Failed</x:v>
      </x:c>
      <x:c r="R30" s="34" t="str">
        <x:v>DEF-047</x:v>
      </x:c>
      <x:c r="S30" s="34" t="str">
        <x:v>Fixed</x:v>
      </x:c>
      <x:c r="T30" s="34" t="str">
        <x:v>Passed</x:v>
      </x:c>
      <x:c r="U30" s="34" t="str">
        <x:v>Passed</x:v>
      </x:c>
      <x:c r="V30" s="34" t="str">
        <x:v>Post-fix focused tests passed: DEF-047</x:v>
      </x:c>
      <x:c r="W30" s="34" t="str">
        <x:v>Ficha do cliente mistura nao encontrado com falha de banco | src/pages/__tests__/ClienteFicha.behavior.test.tsx</x:v>
      </x:c>
    </x:row>
    <x:row r="31" ht="54" customHeight="1">
      <x:c r="A31" s="33" t="str">
        <x:v>US-030</x:v>
      </x:c>
      <x:c r="B31" s="33" t="str">
        <x:v>demurrage</x:v>
      </x:c>
      <x:c r="C31" s="33" t="str">
        <x:v>/demurrage · carregar, filtrar e agrupar tracking</x:v>
      </x:c>
      <x:c r="D31" s="33" t="str">
        <x:v>/demurrage · carregar, filtrar e agrupar tracking</x:v>
      </x:c>
      <x:c r="E31" s="33" t="str">
        <x:v>Usuário interno</x:v>
      </x:c>
      <x:c r="F31" s="34" t="str">
        <x:v>Como usuário interno, quero /demurrage · carregar, filtrar e agrupar tracking para concluir o objetivo operacional descrito pela interface.</x:v>
      </x:c>
      <x:c r="G31" s="34" t="str">
        <x:v>Ao /demurrage · carregar, filtrar e agrupar tracking, o sistema deve executar listDemurrageContainers; ensureDemurrageRatesLoaded; calculateDemurrage. Persistência esperada: SELECT em bl_containers, bls, customers, voyages, vessels; SELECT em demurrage_rates. Resultado observável: Query ['demurrage-containers'], staleTime=60s; agrupamento e total USD derivados no cliente. Em falha: Erro de query mostra InlineError; falha de tarifas usa grupos estáticos.</x:v>
      </x:c>
      <x:c r="H31" s="34" t="str">
        <x:v>Sessão interna; aba Containers</x:v>
      </x:c>
      <x:c r="I31" s="34" t="str">
        <x:v>Demurrage; groupByBl; filtro local</x:v>
      </x:c>
      <x:c r="J31" s="34" t="str">
        <x:v>listDemurrageContainers; ensureDemurrageRatesLoaded; calculateDemurrage</x:v>
      </x:c>
      <x:c r="K31" s="34" t="str">
        <x:v>SELECT em bl_containers, bls, customers, voyages, vessels; SELECT em demurrage_rates</x:v>
      </x:c>
      <x:c r="L31" s="34" t="str">
        <x:v>Query ['demurrage-containers'], staleTime=60s; agrupamento e total USD derivados no cliente</x:v>
      </x:c>
      <x:c r="M31" s="34" t="str">
        <x:v>Erro de query mostra InlineError; falha de tarifas usa grupos estáticos</x:v>
      </x:c>
      <x:c r="N31" s="34" t="str">
        <x:v>Código: Demurrage.tsx, demurrageContainers.ts, demurrageRates.ts</x:v>
      </x:c>
      <x:c r="O31" s="34" t="str">
        <x:v>docs/modules/demurrage.md</x:v>
      </x:c>
      <x:c r="P31" s="34" t="str">
        <x:v>Runtime</x:v>
      </x:c>
      <x:c r="Q31" s="34" t="str">
        <x:v>Blocked</x:v>
      </x:c>
      <x:c r="R31" s="34" t="str"/>
      <x:c r="S31" s="34" t="str">
        <x:v>Not Needed</x:v>
      </x:c>
      <x:c r="T31" s="34" t="str">
        <x:v>Not Applicable</x:v>
      </x:c>
      <x:c r="U31" s="34" t="str">
        <x:v>Passed</x:v>
      </x:c>
      <x:c r="V31" s="34" t="str">
        <x:v>listDemurrageContainers test returns the tracking rows and filters by customer.</x:v>
      </x:c>
      <x:c r="W31" s="34" t="str">
        <x:v>src/services/demurrage/__tests__/demurrageService.test.ts</x:v>
      </x:c>
    </x:row>
    <x:row r="32" ht="54" customHeight="1">
      <x:c r="A32" s="33" t="str">
        <x:v>US-031</x:v>
      </x:c>
      <x:c r="B32" s="33" t="str">
        <x:v>demurrage</x:v>
      </x:c>
      <x:c r="C32" s="33" t="str">
        <x:v>/demurrage · carregar KPIs</x:v>
      </x:c>
      <x:c r="D32" s="33" t="str">
        <x:v>/demurrage · carregar KPIs</x:v>
      </x:c>
      <x:c r="E32" s="33" t="str">
        <x:v>Usuário interno</x:v>
      </x:c>
      <x:c r="F32" s="34" t="str">
        <x:v>Como usuário interno, quero /demurrage · carregar kpis para concluir o objetivo operacional descrito pela interface.</x:v>
      </x:c>
      <x:c r="G32" s="34" t="str">
        <x:v>Ao /demurrage · carregar kpis, o sistema deve executar fetchDemurrageKPIs executa três consultas paralelas. Persistência esperada: bl_containers e demurrage_invoices. Resultado observável: Query ['demurrage-kpis'], staleTime=60s. Em falha: Qualquer consulta com erro rejeita o conjunto; a página mantém placeholders.</x:v>
      </x:c>
      <x:c r="H32" s="34" t="str">
        <x:v>Sessão interna</x:v>
      </x:c>
      <x:c r="I32" s="34" t="str">
        <x:v>Query montada pela página</x:v>
      </x:c>
      <x:c r="J32" s="34" t="str">
        <x:v>fetchDemurrageKPIs executa três consultas paralelas</x:v>
      </x:c>
      <x:c r="K32" s="34" t="str">
        <x:v>bl_containers e demurrage_invoices</x:v>
      </x:c>
      <x:c r="L32" s="34" t="str">
        <x:v>Query ['demurrage-kpis'], staleTime=60s</x:v>
      </x:c>
      <x:c r="M32" s="34" t="str">
        <x:v>Qualquer consulta com erro rejeita o conjunto; a página mantém placeholders</x:v>
      </x:c>
      <x:c r="N32" s="34" t="str">
        <x:v>Código: Demurrage.tsx, demurrageKpis.ts</x:v>
      </x:c>
      <x:c r="O32" s="34" t="str">
        <x:v>docs/modules/demurrage.md</x:v>
      </x:c>
      <x:c r="P32" s="34" t="str">
        <x:v>Runtime</x:v>
      </x:c>
      <x:c r="Q32" s="34" t="str">
        <x:v>Blocked</x:v>
      </x:c>
      <x:c r="R32" s="34" t="str"/>
      <x:c r="S32" s="34" t="str">
        <x:v>Not Needed</x:v>
      </x:c>
      <x:c r="T32" s="34" t="str">
        <x:v>Not Applicable</x:v>
      </x:c>
      <x:c r="U32" s="34" t="str">
        <x:v>Passed</x:v>
      </x:c>
      <x:c r="V32" s="34" t="str">
        <x:v>fetchDemurrageKPIs test computes overdue containers, draft USD and issued BRL totals.</x:v>
      </x:c>
      <x:c r="W32" s="34" t="str">
        <x:v>src/services/demurrage/__tests__/demurrageService.test.ts</x:v>
      </x:c>
    </x:row>
    <x:row r="33" ht="54" customHeight="1">
      <x:c r="A33" s="33" t="str">
        <x:v>US-032</x:v>
      </x:c>
      <x:c r="B33" s="33" t="str">
        <x:v>demurrage</x:v>
      </x:c>
      <x:c r="C33" s="33" t="str">
        <x:v>/demurrage · importar datas</x:v>
      </x:c>
      <x:c r="D33" s="33" t="str">
        <x:v>/demurrage · importar datas</x:v>
      </x:c>
      <x:c r="E33" s="33" t="str">
        <x:v>Usuário interno</x:v>
      </x:c>
      <x:c r="F33" s="34" t="str">
        <x:v>Como usuário interno, quero /demurrage · importar datas para concluir o objetivo operacional descrito pela interface.</x:v>
      </x:c>
      <x:c r="G33" s="34" t="str">
        <x:v>Ao /demurrage · importar datas, o sistema deve executar parseContainerDatesFile → importContainerDates → resolveStatus; quando todo o B/L retorna, createInvoiceForReturnedBL → fetchROE → issueInvoice. Persistência esperada: UPDATE em bl_containers; possível INSERT em demurrage_invoices e demurrage_invoice_items. Resultado observável: Invalida ['demurrage-containers'], ['demurrage-invoices'], ['bl-detail']; reporta atualizados, inalterados e ausentes. Em falha: Colunas/datas inválidas ficam no preview; falha de qualquer escrita interrompe o import.</x:v>
      </x:c>
      <x:c r="H33" s="34" t="str">
        <x:v>Arquivo com B/L, container e descarga; devolução opcional</x:v>
      </x:c>
      <x:c r="I33" s="34" t="str">
        <x:v>ContainerDatesImportModal.handleFile/handleImport</x:v>
      </x:c>
      <x:c r="J33" s="34" t="str">
        <x:v>parseContainerDatesFile → importContainerDates → resolveStatus; quando todo o B/L retorna, createInvoiceForReturnedBL → fetchROE → issueInvoice</x:v>
      </x:c>
      <x:c r="K33" s="34" t="str">
        <x:v>UPDATE em bl_containers; possível INSERT em demurrage_invoices e demurrage_invoice_items</x:v>
      </x:c>
      <x:c r="L33" s="34" t="str">
        <x:v>Invalida ['demurrage-containers'], ['demurrage-invoices'], ['bl-detail']; reporta atualizados, inalterados e ausentes</x:v>
      </x:c>
      <x:c r="M33" s="34" t="str">
        <x:v>Colunas/datas inválidas ficam no preview; falha de qualquer escrita interrompe o import</x:v>
      </x:c>
      <x:c r="N33" s="34" t="str">
        <x:v>Código: ContainerDatesImportModal.tsx, containerDatesImport.ts</x:v>
      </x:c>
      <x:c r="O33" s="34" t="str">
        <x:v>docs/modules/demurrage.md</x:v>
      </x:c>
      <x:c r="P33" s="34" t="str">
        <x:v>Runtime</x:v>
      </x:c>
      <x:c r="Q33" s="34" t="str">
        <x:v>Failed</x:v>
      </x:c>
      <x:c r="R33" s="34" t="str">
        <x:v>DEF-027, DEF-039</x:v>
      </x:c>
      <x:c r="S33" s="34" t="str">
        <x:v>Fixed</x:v>
      </x:c>
      <x:c r="T33" s="34" t="str">
        <x:v>Passed</x:v>
      </x:c>
      <x:c r="U33" s="34" t="str">
        <x:v>Passed</x:v>
      </x:c>
      <x:c r="V33" s="34" t="str">
        <x:v>Post-fix focused tests passed: DEF-027, DEF-039</x:v>
      </x:c>
      <x:c r="W33" s="34" t="str">
        <x:v>Emissão automática pode registrar origem incorreta do ROE | Correção posterior da ATA da viagem não atualiza descarga dos containers</x:v>
      </x:c>
    </x:row>
    <x:row r="34" ht="54" customHeight="1">
      <x:c r="A34" s="33" t="str">
        <x:v>US-033</x:v>
      </x:c>
      <x:c r="B34" s="33" t="str">
        <x:v>demurrage</x:v>
      </x:c>
      <x:c r="C34" s="33" t="str">
        <x:v>/demurrage · editar descarga e devolução</x:v>
      </x:c>
      <x:c r="D34" s="33" t="str">
        <x:v>/demurrage · editar descarga e devolução</x:v>
      </x:c>
      <x:c r="E34" s="33" t="str">
        <x:v>Usuário interno</x:v>
      </x:c>
      <x:c r="F34" s="34" t="str">
        <x:v>Como usuário interno, quero /demurrage · editar descarga e devolução para concluir o objetivo operacional descrito pela interface.</x:v>
      </x:c>
      <x:c r="G34" s="34" t="str">
        <x:v>Ao /demurrage · editar descarga e devolução, o sistema deve executar demurrageDatesSchema → updateContainerDates → cálculo de status. Persistência esperada: UPDATE direto em bl_containers. Resultado observável: Invalida ['demurrage-containers']; fecha modal. Em falha: Validação local bloqueia formato/ordem; constraint do banco rejeita ordem inválida.</x:v>
      </x:c>
      <x:c r="H34" s="34" t="str">
        <x:v>Descarga obrigatória; devolução vazia ou não anterior</x:v>
      </x:c>
      <x:c r="I34" s="34" t="str">
        <x:v>openEditContainer; containerDatesMutation</x:v>
      </x:c>
      <x:c r="J34" s="34" t="str">
        <x:v>demurrageDatesSchema → updateContainerDates → cálculo de status</x:v>
      </x:c>
      <x:c r="K34" s="34" t="str">
        <x:v>UPDATE direto em bl_containers</x:v>
      </x:c>
      <x:c r="L34" s="34" t="str">
        <x:v>Invalida ['demurrage-containers']; fecha modal</x:v>
      </x:c>
      <x:c r="M34" s="34" t="str">
        <x:v>Validação local bloqueia formato/ordem; constraint do banco rejeita ordem inválida</x:v>
      </x:c>
      <x:c r="N34" s="34" t="str">
        <x:v>Código/Teste: Demurrage.tsx, demurrageContainers.ts, financialValidation.test.ts</x:v>
      </x:c>
      <x:c r="O34" s="34" t="str">
        <x:v>docs/modules/demurrage.md</x:v>
      </x:c>
      <x:c r="P34" s="34" t="str">
        <x:v>Automated</x:v>
      </x:c>
      <x:c r="Q34" s="34" t="str">
        <x:v>Passed</x:v>
      </x:c>
      <x:c r="R34" s="34" t="str"/>
      <x:c r="S34" s="34" t="str">
        <x:v>Not Needed</x:v>
      </x:c>
      <x:c r="T34" s="34" t="str">
        <x:v>Not Applicable</x:v>
      </x:c>
      <x:c r="U34" s="34" t="str">
        <x:v>Passed</x:v>
      </x:c>
      <x:c r="V34" s="34" t="str">
        <x:v>npm test -- --maxWorkers=4 — 598 passed, 9 skipped; focused evidence named in baseline</x:v>
      </x:c>
      <x:c r="W34" s="34" t="str"/>
    </x:row>
    <x:row r="35" ht="54" customHeight="1">
      <x:c r="A35" s="33" t="str">
        <x:v>US-034</x:v>
      </x:c>
      <x:c r="B35" s="33" t="str">
        <x:v>demurrage</x:v>
      </x:c>
      <x:c r="C35" s="33" t="str">
        <x:v>B/L · definir ou limpar devolução</x:v>
      </x:c>
      <x:c r="D35" s="33" t="str">
        <x:v>B/L · definir ou limpar devolução</x:v>
      </x:c>
      <x:c r="E35" s="33" t="str">
        <x:v>Usuário interno</x:v>
      </x:c>
      <x:c r="F35" s="34" t="str">
        <x:v>Como usuário interno, quero b/l · definir ou limpar devolução para concluir o objetivo operacional descrito pela interface.</x:v>
      </x:c>
      <x:c r="G35" s="34" t="str">
        <x:v>Ao b/l · definir ou limpar devolução, o sistema deve executar updateContainerReturnDate recalcula status e chama auditoria best-effort. Persistência esperada: UPDATE em bl_containers; INSERT best-effort em audit_logs com new_value data ou null. Resultado observável: Invalida bl-detail, bls e ['demurrage-containers']. Em falha: Falha principal mostra toast; falha de auditoria vai para telemetria e não desfaz a data.</x:v>
      </x:c>
      <x:c r="H35" s="34" t="str">
        <x:v>Container do B/L; data opcional</x:v>
      </x:c>
      <x:c r="I35" s="34" t="str">
        <x:v>BlDemurrageSection.handleSaveReturnDate</x:v>
      </x:c>
      <x:c r="J35" s="34" t="str">
        <x:v>updateContainerReturnDate recalcula status e chama auditoria best-effort</x:v>
      </x:c>
      <x:c r="K35" s="34" t="str">
        <x:v>UPDATE em bl_containers; INSERT best-effort em audit_logs com new_value data ou null</x:v>
      </x:c>
      <x:c r="L35" s="34" t="str">
        <x:v>Invalida bl-detail, bls e ['demurrage-containers']</x:v>
      </x:c>
      <x:c r="M35" s="34" t="str">
        <x:v>Falha principal mostra toast; falha de auditoria vai para telemetria e não desfaz a data</x:v>
      </x:c>
      <x:c r="N35" s="34" t="str">
        <x:v>Código/Teste: BlDemurrageSection.tsx, demurrageContainers.ts, updateContainerReturnDate.audit.test.ts</x:v>
      </x:c>
      <x:c r="O35" s="34" t="str">
        <x:v>docs/modules/demurrage.md</x:v>
      </x:c>
      <x:c r="P35" s="34" t="str">
        <x:v>Automated</x:v>
      </x:c>
      <x:c r="Q35" s="34" t="str">
        <x:v>Passed</x:v>
      </x:c>
      <x:c r="R35" s="34" t="str"/>
      <x:c r="S35" s="34" t="str">
        <x:v>Not Needed</x:v>
      </x:c>
      <x:c r="T35" s="34" t="str">
        <x:v>Not Applicable</x:v>
      </x:c>
      <x:c r="U35" s="34" t="str">
        <x:v>Passed</x:v>
      </x:c>
      <x:c r="V35" s="34" t="str">
        <x:v>npm test -- --maxWorkers=4 — 598 passed, 9 skipped; focused evidence named in baseline</x:v>
      </x:c>
      <x:c r="W35" s="34" t="str"/>
    </x:row>
    <x:row r="36" ht="54" customHeight="1">
      <x:c r="A36" s="33" t="str">
        <x:v>US-035</x:v>
      </x:c>
      <x:c r="B36" s="33" t="str">
        <x:v>demurrage</x:v>
      </x:c>
      <x:c r="C36" s="33" t="str">
        <x:v>B/L · salvar free time</x:v>
      </x:c>
      <x:c r="D36" s="33" t="str">
        <x:v>B/L · salvar free time</x:v>
      </x:c>
      <x:c r="E36" s="33" t="str">
        <x:v>Usuário interno</x:v>
      </x:c>
      <x:c r="F36" s="34" t="str">
        <x:v>Como usuário interno, quero b/l · salvar free time para concluir o objetivo operacional descrito pela interface.</x:v>
      </x:c>
      <x:c r="G36" s="34" t="str">
        <x:v>Ao b/l · salvar free time, o sistema deve executar RPC auditada save_bl_review com payload e linha de auditoria. Persistência esperada: UPDATE de bls.free_time_override e INSERT de auditoria dentro da RPC. Resultado observável: Invalida queryKeys.bls.detail(bl.id). Em falha: PT409 ou 40001 recarrega detalhe e exige nova revisão; outros erros abortam antes dos overrides P1/P2.</x:v>
      </x:c>
      <x:c r="H36" s="34" t="str">
        <x:v>Usuário autenticado; B/L carregado com updated_at esperado</x:v>
      </x:c>
      <x:c r="I36" s="34" t="str">
        <x:v>BlDemurrageSection.handleSaveDemurrageConfig</x:v>
      </x:c>
      <x:c r="J36" s="34" t="str">
        <x:v>RPC auditada save_bl_review com payload e linha de auditoria</x:v>
      </x:c>
      <x:c r="K36" s="34" t="str">
        <x:v>UPDATE de bls.free_time_override e INSERT de auditoria dentro da RPC</x:v>
      </x:c>
      <x:c r="L36" s="34" t="str">
        <x:v>Invalida queryKeys.bls.detail(bl.id)</x:v>
      </x:c>
      <x:c r="M36" s="34" t="str">
        <x:v>PT409 ou 40001 recarrega detalhe e exige nova revisão; outros erros abortam antes dos overrides P1/P2</x:v>
      </x:c>
      <x:c r="N36" s="34" t="str">
        <x:v>Código: BlDemurrageSection.tsx, 021_save_bl_review_stale_fast_fail.sql, 022_save_bl_review_conflict_code_pt409.sql</x:v>
      </x:c>
      <x:c r="O36" s="34" t="str">
        <x:v>docs/modules/demurrage.md</x:v>
      </x:c>
      <x:c r="P36" s="34" t="str">
        <x:v>Runtime</x:v>
      </x:c>
      <x:c r="Q36" s="34" t="str">
        <x:v>Blocked</x:v>
      </x:c>
      <x:c r="R36" s="34" t="str"/>
      <x:c r="S36" s="34" t="str">
        <x:v>Not Needed</x:v>
      </x:c>
      <x:c r="T36" s="34" t="str">
        <x:v>Not Applicable</x:v>
      </x:c>
      <x:c r="U36" s="34" t="str">
        <x:v>Passed</x:v>
      </x:c>
      <x:c r="V36" s="34" t="str">
        <x:v>saveBlDemurrageConfig test persists free time and P1/P2 overrides through a single audited RPC.</x:v>
      </x:c>
      <x:c r="W36" s="34" t="str">
        <x:v>src/services/__tests__/blDemurrageConfigAtomic.test.ts</x:v>
      </x:c>
    </x:row>
    <x:row r="37" ht="54" customHeight="1">
      <x:c r="A37" s="33" t="str">
        <x:v>US-036</x:v>
      </x:c>
      <x:c r="B37" s="33" t="str">
        <x:v>demurrage</x:v>
      </x:c>
      <x:c r="C37" s="33" t="str">
        <x:v>B/L · salvar overrides P1/P2</x:v>
      </x:c>
      <x:c r="D37" s="33" t="str">
        <x:v>B/L · salvar overrides P1/P2</x:v>
      </x:c>
      <x:c r="E37" s="33" t="str">
        <x:v>Usuário interno</x:v>
      </x:c>
      <x:c r="F37" s="34" t="str">
        <x:v>Como usuário interno, quero b/l · salvar overrides p1/p2 para concluir o objetivo operacional descrito pela interface.</x:v>
      </x:c>
      <x:c r="G37" s="34" t="str">
        <x:v>Ao b/l · salvar overrides p1/p2, o sistema deve executar UPDATE direto em bls; auditoria separada best-effort. Persistência esperada: bls.demurrage_rate_override_p1_usd, bls.demurrage_rate_override_p2_usd; audit_logs. Resultado observável: Invalida detalhe do B/L ao concluir. Em falha: Valor não numérico é bloqueado; falha do UPDATE aborta; falha da auditoria só gera telemetria.</x:v>
      </x:c>
      <x:c r="H37" s="34" t="str">
        <x:v>Free time salvo com sucesso; valores vazios ou numéricos</x:v>
      </x:c>
      <x:c r="I37" s="34" t="str">
        <x:v>Mesmo handler, etapa posterior à RPC</x:v>
      </x:c>
      <x:c r="J37" s="34" t="str">
        <x:v>UPDATE direto em bls; auditoria separada best-effort</x:v>
      </x:c>
      <x:c r="K37" s="34" t="str">
        <x:v>bls.demurrage_rate_override_p1_usd, bls.demurrage_rate_override_p2_usd; audit_logs</x:v>
      </x:c>
      <x:c r="L37" s="34" t="str">
        <x:v>Invalida detalhe do B/L ao concluir</x:v>
      </x:c>
      <x:c r="M37" s="34" t="str">
        <x:v>Valor não numérico é bloqueado; falha do UPDATE aborta; falha da auditoria só gera telemetria</x:v>
      </x:c>
      <x:c r="N37" s="34" t="str">
        <x:v>Código: BlDemurrageSection.tsx</x:v>
      </x:c>
      <x:c r="O37" s="34" t="str">
        <x:v>docs/modules/demurrage.md</x:v>
      </x:c>
      <x:c r="P37" s="34" t="str">
        <x:v>Runtime</x:v>
      </x:c>
      <x:c r="Q37" s="34" t="str">
        <x:v>Blocked</x:v>
      </x:c>
      <x:c r="R37" s="34" t="str"/>
      <x:c r="S37" s="34" t="str">
        <x:v>Not Needed</x:v>
      </x:c>
      <x:c r="T37" s="34" t="str">
        <x:v>Not Applicable</x:v>
      </x:c>
      <x:c r="U37" s="34" t="str">
        <x:v>Passed</x:v>
      </x:c>
      <x:c r="V37" s="34" t="str">
        <x:v>saveBlDemurrageConfig test persists free time and P1/P2 overrides through a single audited RPC.</x:v>
      </x:c>
      <x:c r="W37" s="34" t="str">
        <x:v>src/services/__tests__/blDemurrageConfigAtomic.test.ts</x:v>
      </x:c>
    </x:row>
    <x:row r="38" ht="54" customHeight="1">
      <x:c r="A38" s="33" t="str">
        <x:v>US-037</x:v>
      </x:c>
      <x:c r="B38" s="33" t="str">
        <x:v>demurrage</x:v>
      </x:c>
      <x:c r="C38" s="33" t="str">
        <x:v>Derivar free time, P1/P2 e status</x:v>
      </x:c>
      <x:c r="D38" s="33" t="str">
        <x:v>Derivar free time, P1/P2 e status</x:v>
      </x:c>
      <x:c r="E38" s="33" t="str">
        <x:v>Usuário interno</x:v>
      </x:c>
      <x:c r="F38" s="34" t="str">
        <x:v>Como usuário interno, quero derivar free time, p1/p2 e status para concluir o objetivo operacional descrito pela interface.</x:v>
      </x:c>
      <x:c r="G38" s="34" t="str">
        <x:v>Ao derivar free time, p1/p2 e status, o sistema deve executar calculateDemurrage resolve tarifa e calcula dias inclusivos de P1/P2. Persistência esperada: Sem escrita; lê cache em memória de tarifas. Resultado observável: Resultado within_free_time ou overdue; usado para UI e persistência subsequente. Em falha: String vazia/data inválida ou devolução anterior lança erro.</x:v>
      </x:c>
      <x:c r="H38" s="34" t="str">
        <x:v>Tipo, descarga e devolução válidos; tarifas carregadas ou fallback</x:v>
      </x:c>
      <x:c r="I38" s="34" t="str">
        <x:v>Tracking, aba do B/L, import e criação de invoice</x:v>
      </x:c>
      <x:c r="J38" s="34" t="str">
        <x:v>calculateDemurrage resolve tarifa e calcula dias inclusivos de P1/P2</x:v>
      </x:c>
      <x:c r="K38" s="34" t="str">
        <x:v>Sem escrita; lê cache em memória de tarifas</x:v>
      </x:c>
      <x:c r="L38" s="34" t="str">
        <x:v>Resultado within_free_time ou overdue; usado para UI e persistência subsequente</x:v>
      </x:c>
      <x:c r="M38" s="34" t="str">
        <x:v>String vazia/data inválida ou devolução anterior lança erro</x:v>
      </x:c>
      <x:c r="N38" s="34" t="str">
        <x:v>Código/Teste: demurrageRates.ts, calculateDemurrage.test.ts</x:v>
      </x:c>
      <x:c r="O38" s="34" t="str">
        <x:v>docs/modules/demurrage.md</x:v>
      </x:c>
      <x:c r="P38" s="34" t="str">
        <x:v>Automated</x:v>
      </x:c>
      <x:c r="Q38" s="34" t="str">
        <x:v>Passed</x:v>
      </x:c>
      <x:c r="R38" s="34" t="str"/>
      <x:c r="S38" s="34" t="str">
        <x:v>Not Needed</x:v>
      </x:c>
      <x:c r="T38" s="34" t="str">
        <x:v>Not Applicable</x:v>
      </x:c>
      <x:c r="U38" s="34" t="str">
        <x:v>Passed</x:v>
      </x:c>
      <x:c r="V38" s="34" t="str">
        <x:v>npm test -- --maxWorkers=4 — 598 passed, 9 skipped; focused evidence named in baseline</x:v>
      </x:c>
      <x:c r="W38" s="34" t="str"/>
    </x:row>
    <x:row r="39" ht="54" customHeight="1">
      <x:c r="A39" s="33" t="str">
        <x:v>US-038</x:v>
      </x:c>
      <x:c r="B39" s="33" t="str">
        <x:v>demurrage</x:v>
      </x:c>
      <x:c r="C39" s="33" t="str">
        <x:v>/demurrage · criar invoice para B/L</x:v>
      </x:c>
      <x:c r="D39" s="33" t="str">
        <x:v>/demurrage · criar invoice para B/L</x:v>
      </x:c>
      <x:c r="E39" s="33" t="str">
        <x:v>Usuário interno</x:v>
      </x:c>
      <x:c r="F39" s="34" t="str">
        <x:v>Como usuário interno, quero /demurrage · criar invoice para b/l para concluir o objetivo operacional descrito pela interface.</x:v>
      </x:c>
      <x:c r="G39" s="34" t="str">
        <x:v>Ao /demurrage · criar invoice para b/l, o sistema deve executar createInvoiceForBL recalcula cada item, gera doc_number, vencimento e ready_at. Persistência esperada: INSERT direto em demurrage_invoices, depois INSERT em demurrage_invoice_items. Resultado observável: Invalida containers, invoices e KPIs. Em falha: Sem cliente/containers elegíveis lança erro; as duas inserções não formam uma RPC atômica.</x:v>
      </x:c>
      <x:c r="H39" s="34" t="str">
        <x:v>Cliente vinculado; ao menos um container com demurrage_status='overdue'</x:v>
      </x:c>
      <x:c r="I39" s="34" t="str">
        <x:v>Botão Gerar Fatura; generateMutation</x:v>
      </x:c>
      <x:c r="J39" s="34" t="str">
        <x:v>createInvoiceForBL recalcula cada item, gera doc_number, vencimento e ready_at</x:v>
      </x:c>
      <x:c r="K39" s="34" t="str">
        <x:v>INSERT direto em demurrage_invoices, depois INSERT em demurrage_invoice_items</x:v>
      </x:c>
      <x:c r="L39" s="34" t="str">
        <x:v>Invalida containers, invoices e KPIs</x:v>
      </x:c>
      <x:c r="M39" s="34" t="str">
        <x:v>Sem cliente/containers elegíveis lança erro; as duas inserções não formam uma RPC atômica</x:v>
      </x:c>
      <x:c r="N39" s="34" t="str">
        <x:v>Código: Demurrage.tsx, demurrageInvoices.ts</x:v>
      </x:c>
      <x:c r="O39" s="34" t="str">
        <x:v>docs/modules/demurrage.md</x:v>
      </x:c>
      <x:c r="P39" s="34" t="str">
        <x:v>Runtime</x:v>
      </x:c>
      <x:c r="Q39" s="34" t="str">
        <x:v>Failed</x:v>
      </x:c>
      <x:c r="R39" s="34" t="str">
        <x:v>DEF-026</x:v>
      </x:c>
      <x:c r="S39" s="34" t="str">
        <x:v>Fixed</x:v>
      </x:c>
      <x:c r="T39" s="34" t="str">
        <x:v>Passed</x:v>
      </x:c>
      <x:c r="U39" s="34" t="str">
        <x:v>Passed</x:v>
      </x:c>
      <x:c r="V39" s="34" t="str">
        <x:v>Post-fix focused tests passed: DEF-026</x:v>
      </x:c>
      <x:c r="W39" s="34" t="str">
        <x:v>Criação de invoice de Demurrage pode deixar cabeçalho sem itens</x:v>
      </x:c>
    </x:row>
    <x:row r="40" ht="54" customHeight="1">
      <x:c r="A40" s="33" t="str">
        <x:v>US-039</x:v>
      </x:c>
      <x:c r="B40" s="33" t="str">
        <x:v>demurrage</x:v>
      </x:c>
      <x:c r="C40" s="33" t="str">
        <x:v>/demurrage · listar invoices</x:v>
      </x:c>
      <x:c r="D40" s="33" t="str">
        <x:v>/demurrage · listar invoices</x:v>
      </x:c>
      <x:c r="E40" s="33" t="str">
        <x:v>Usuário interno</x:v>
      </x:c>
      <x:c r="F40" s="34" t="str">
        <x:v>Como usuário interno, quero /demurrage · listar invoices para concluir o objetivo operacional descrito pela interface.</x:v>
      </x:c>
      <x:c r="G40" s="34" t="str">
        <x:v>Ao /demurrage · listar invoices, o sistema deve executar listDemurrageInvoices({status}). Persistência esperada: SELECT em demurrage_invoices, customers, bls, voyages, vessels. Resultado observável: Query ['demurrage-invoices', status], staleTime=30s. Em falha: Erro mostra InlineError.</x:v>
      </x:c>
      <x:c r="H40" s="34" t="str">
        <x:v>Aba Rascunhos, Emitidas ou Pagas</x:v>
      </x:c>
      <x:c r="I40" s="34" t="str">
        <x:v>Query da página</x:v>
      </x:c>
      <x:c r="J40" s="34" t="str">
        <x:v>listDemurrageInvoices({status})</x:v>
      </x:c>
      <x:c r="K40" s="34" t="str">
        <x:v>SELECT em demurrage_invoices, customers, bls, voyages, vessels</x:v>
      </x:c>
      <x:c r="L40" s="34" t="str">
        <x:v>Query ['demurrage-invoices', status], staleTime=30s</x:v>
      </x:c>
      <x:c r="M40" s="34" t="str">
        <x:v>Erro mostra InlineError</x:v>
      </x:c>
      <x:c r="N40" s="34" t="str">
        <x:v>Código: Demurrage.tsx, demurrageInvoices.ts</x:v>
      </x:c>
      <x:c r="O40" s="34" t="str">
        <x:v>docs/modules/demurrage.md</x:v>
      </x:c>
      <x:c r="P40" s="34" t="str">
        <x:v>Runtime</x:v>
      </x:c>
      <x:c r="Q40" s="34" t="str">
        <x:v>Failed</x:v>
      </x:c>
      <x:c r="R40" s="34" t="str">
        <x:v>DEF-010</x:v>
      </x:c>
      <x:c r="S40" s="34" t="str">
        <x:v>Fixed</x:v>
      </x:c>
      <x:c r="T40" s="34" t="str">
        <x:v>Passed</x:v>
      </x:c>
      <x:c r="U40" s="34" t="str">
        <x:v>Passed</x:v>
      </x:c>
      <x:c r="V40" s="34" t="str">
        <x:v>Post-fix focused tests passed: DEF-010</x:v>
      </x:c>
      <x:c r="W40" s="34" t="str">
        <x:v>Gestão de demurrage não oferece abas para invoices vencidas ou canceladas</x:v>
      </x:c>
    </x:row>
    <x:row r="41" ht="54" customHeight="1">
      <x:c r="A41" s="33" t="str">
        <x:v>US-040</x:v>
      </x:c>
      <x:c r="B41" s="33" t="str">
        <x:v>demurrage</x:v>
      </x:c>
      <x:c r="C41" s="33" t="str">
        <x:v>/demurrage · abrir detalhe/breakdown</x:v>
      </x:c>
      <x:c r="D41" s="33" t="str">
        <x:v>/demurrage · abrir detalhe/breakdown</x:v>
      </x:c>
      <x:c r="E41" s="33" t="str">
        <x:v>Usuário interno</x:v>
      </x:c>
      <x:c r="F41" s="34" t="str">
        <x:v>Como usuário interno, quero /demurrage · abrir detalhe/breakdown para concluir o objetivo operacional descrito pela interface.</x:v>
      </x:c>
      <x:c r="G41" s="34" t="str">
        <x:v>Ao /demurrage · abrir detalhe/breakdown, o sistema deve executar getInvoiceDetail carrega cabeçalho e itens em paralelo. Persistência esperada: SELECT em demurrage_invoices e demurrage_invoice_items. Resultado observável: Query ['demurrage-invoice-detail', id]. Em falha: Erro da invoice ou dos itens rejeita a leitura.</x:v>
      </x:c>
      <x:c r="H41" s="34" t="str">
        <x:v>Invoice selecionada</x:v>
      </x:c>
      <x:c r="I41" s="34" t="str">
        <x:v>Botão Detalhes ou visualizador</x:v>
      </x:c>
      <x:c r="J41" s="34" t="str">
        <x:v>getInvoiceDetail carrega cabeçalho e itens em paralelo</x:v>
      </x:c>
      <x:c r="K41" s="34" t="str">
        <x:v>SELECT em demurrage_invoices e demurrage_invoice_items</x:v>
      </x:c>
      <x:c r="L41" s="34" t="str">
        <x:v>Query ['demurrage-invoice-detail', id]</x:v>
      </x:c>
      <x:c r="M41" s="34" t="str">
        <x:v>Erro da invoice ou dos itens rejeita a leitura</x:v>
      </x:c>
      <x:c r="N41" s="34" t="str">
        <x:v>Código: Demurrage.tsx, demurrageInvoices.ts</x:v>
      </x:c>
      <x:c r="O41" s="34" t="str">
        <x:v>docs/modules/demurrage.md</x:v>
      </x:c>
      <x:c r="P41" s="34" t="str">
        <x:v>Runtime</x:v>
      </x:c>
      <x:c r="Q41" s="34" t="str">
        <x:v>Blocked</x:v>
      </x:c>
      <x:c r="R41" s="34" t="str"/>
      <x:c r="S41" s="34" t="str">
        <x:v>Not Needed</x:v>
      </x:c>
      <x:c r="T41" s="34" t="str">
        <x:v>Not Applicable</x:v>
      </x:c>
      <x:c r="U41" s="34" t="str">
        <x:v>Passed</x:v>
      </x:c>
      <x:c r="V41" s="34" t="str">
        <x:v>getInvoiceDetail test returns the invoice header and its item breakdown.</x:v>
      </x:c>
      <x:c r="W41" s="34" t="str">
        <x:v>src/services/demurrage/__tests__/demurrageService.test.ts</x:v>
      </x:c>
    </x:row>
    <x:row r="42" ht="54" customHeight="1">
      <x:c r="A42" s="33" t="str">
        <x:v>US-041</x:v>
      </x:c>
      <x:c r="B42" s="33" t="str">
        <x:v>demurrage</x:v>
      </x:c>
      <x:c r="C42" s="33" t="str">
        <x:v>/demurrage · emitir e congelar ROE/BRL</x:v>
      </x:c>
      <x:c r="D42" s="33" t="str">
        <x:v>/demurrage · emitir e congelar ROE/BRL</x:v>
      </x:c>
      <x:c r="E42" s="33" t="str">
        <x:v>Usuário interno</x:v>
      </x:c>
      <x:c r="F42" s="34" t="str">
        <x:v>Como usuário interno, quero /demurrage · emitir e congelar roe/brl para concluir o objetivo operacional descrito pela interface.</x:v>
      </x:c>
      <x:c r="G42" s="34" t="str">
        <x:v>Ao /demurrage · emitir e congelar roe/brl, o sistema deve executar fetchROE → issueInvoice; aplica desconto, gera payload PIX. Persistência esperada: UPDATE direto em demurrage_invoices: status, datas, frozen_roe, frozen_total_brl, roe_source, pix_payload. Resultado observável: Invalida invoices e KPIs; avisa quando usa cache. Em falha: BCB sem cache rejeita; erro de UPDATE mantém o rascunho.</x:v>
      </x:c>
      <x:c r="H42" s="34" t="str">
        <x:v>Invoice draft; PTAX ao vivo ou cache disponível</x:v>
      </x:c>
      <x:c r="I42" s="34" t="str">
        <x:v>issueMutation</x:v>
      </x:c>
      <x:c r="J42" s="34" t="str">
        <x:v>fetchROE → issueInvoice; aplica desconto, gera payload PIX</x:v>
      </x:c>
      <x:c r="K42" s="34" t="str">
        <x:v>UPDATE direto em demurrage_invoices: status, datas, frozen_roe, frozen_total_brl, roe_source, pix_payload</x:v>
      </x:c>
      <x:c r="L42" s="34" t="str">
        <x:v>Invalida invoices e KPIs; avisa quando usa cache</x:v>
      </x:c>
      <x:c r="M42" s="34" t="str">
        <x:v>BCB sem cache rejeita; erro de UPDATE mantém o rascunho</x:v>
      </x:c>
      <x:c r="N42" s="34" t="str">
        <x:v>Código: Demurrage.tsx, demurrageKpis.ts, demurrageInvoices.ts, 049_demurrage_roe_source.sql</x:v>
      </x:c>
      <x:c r="O42" s="34" t="str">
        <x:v>docs/modules/demurrage.md</x:v>
      </x:c>
      <x:c r="P42" s="34" t="str">
        <x:v>Runtime</x:v>
      </x:c>
      <x:c r="Q42" s="34" t="str">
        <x:v>Blocked</x:v>
      </x:c>
      <x:c r="R42" s="34" t="str"/>
      <x:c r="S42" s="34" t="str">
        <x:v>Not Needed</x:v>
      </x:c>
      <x:c r="T42" s="34" t="str">
        <x:v>Not Applicable</x:v>
      </x:c>
      <x:c r="U42" s="34" t="str">
        <x:v>Passed</x:v>
      </x:c>
      <x:c r="V42" s="34" t="str">
        <x:v>issueInvoice test freezes ROE and the BRL total on the issued invoice.</x:v>
      </x:c>
      <x:c r="W42" s="34" t="str">
        <x:v>src/services/demurrage/__tests__/demurrageService.test.ts</x:v>
      </x:c>
    </x:row>
    <x:row r="43" ht="54" customHeight="1">
      <x:c r="A43" s="33" t="str">
        <x:v>US-042</x:v>
      </x:c>
      <x:c r="B43" s="33" t="str">
        <x:v>demurrage</x:v>
      </x:c>
      <x:c r="C43" s="33" t="str">
        <x:v>/demurrage · desem emitir</x:v>
      </x:c>
      <x:c r="D43" s="33" t="str">
        <x:v>/demurrage · desem emitir</x:v>
      </x:c>
      <x:c r="E43" s="33" t="str">
        <x:v>Usuário interno</x:v>
      </x:c>
      <x:c r="F43" s="34" t="str">
        <x:v>Como usuário interno, quero /demurrage · desem emitir para concluir o objetivo operacional descrito pela interface.</x:v>
      </x:c>
      <x:c r="G43" s="34" t="str">
        <x:v>Ao /demurrage · desem emitir, o sistema deve executar unissueInvoice. Persistência esperada: UPDATE direto: volta a draft, limpa congelados/payload e recalcula vencimento. Resultado observável: Invalida invoices e KPIs. Em falha: Erro mostra toast; o serviço não adiciona guarda de status própria.</x:v>
      </x:c>
      <x:c r="H43" s="34" t="str">
        <x:v>UI oferece para issued; confirmação aceita</x:v>
      </x:c>
      <x:c r="I43" s="34" t="str">
        <x:v>handleUnissueInvoice; unissueMutation</x:v>
      </x:c>
      <x:c r="J43" s="34" t="str">
        <x:v>unissueInvoice</x:v>
      </x:c>
      <x:c r="K43" s="34" t="str">
        <x:v>UPDATE direto: volta a draft, limpa congelados/payload e recalcula vencimento</x:v>
      </x:c>
      <x:c r="L43" s="34" t="str">
        <x:v>Invalida invoices e KPIs</x:v>
      </x:c>
      <x:c r="M43" s="34" t="str">
        <x:v>Erro mostra toast; o serviço não adiciona guarda de status própria</x:v>
      </x:c>
      <x:c r="N43" s="34" t="str">
        <x:v>Código: Demurrage.tsx, demurrageInvoices.ts</x:v>
      </x:c>
      <x:c r="O43" s="34" t="str">
        <x:v>docs/modules/demurrage.md</x:v>
      </x:c>
      <x:c r="P43" s="34" t="str">
        <x:v>Runtime</x:v>
      </x:c>
      <x:c r="Q43" s="34" t="str">
        <x:v>Blocked</x:v>
      </x:c>
      <x:c r="R43" s="34" t="str"/>
      <x:c r="S43" s="34" t="str">
        <x:v>Not Needed</x:v>
      </x:c>
      <x:c r="T43" s="34" t="str">
        <x:v>Not Applicable</x:v>
      </x:c>
      <x:c r="U43" s="34" t="str">
        <x:v>Passed</x:v>
      </x:c>
      <x:c r="V43" s="34" t="str">
        <x:v>unissueInvoice test reverts the invoice to draft and clears the frozen ROE/total.</x:v>
      </x:c>
      <x:c r="W43" s="34" t="str">
        <x:v>src/services/demurrage/__tests__/demurrageService.test.ts</x:v>
      </x:c>
    </x:row>
    <x:row r="44" ht="54" customHeight="1">
      <x:c r="A44" s="33" t="str">
        <x:v>US-043</x:v>
      </x:c>
      <x:c r="B44" s="33" t="str">
        <x:v>demurrage</x:v>
      </x:c>
      <x:c r="C44" s="33" t="str">
        <x:v>/demurrage · marcar pago manualmente</x:v>
      </x:c>
      <x:c r="D44" s="33" t="str">
        <x:v>/demurrage · marcar pago manualmente</x:v>
      </x:c>
      <x:c r="E44" s="33" t="str">
        <x:v>Usuário interno</x:v>
      </x:c>
      <x:c r="F44" s="34" t="str">
        <x:v>Como usuário interno, quero /demurrage · marcar pago manualmente para concluir o objetivo operacional descrito pela interface.</x:v>
      </x:c>
      <x:c r="G44" s="34" t="str">
        <x:v>Ao /demurrage · marcar pago manualmente, o sistema deve executar Reusa ROE congelado ou busca ROE; markInvoicePaid valida status. Persistência esperada: UPDATE direto em demurrage_invoices. Resultado observável: Invalida invoices e KPIs. Em falha: Status incompatível ou ROE indisponível rejeita.</x:v>
      </x:c>
      <x:c r="H44" s="34" t="str">
        <x:v>UI exibe a ação para invoice issued; o serviço também aceita overdue; data informada</x:v>
      </x:c>
      <x:c r="I44" s="34" t="str">
        <x:v>Modal Registrar Pagamento; payMutation</x:v>
      </x:c>
      <x:c r="J44" s="34" t="str">
        <x:v>Reusa ROE congelado ou busca ROE; markInvoicePaid valida status</x:v>
      </x:c>
      <x:c r="K44" s="34" t="str">
        <x:v>UPDATE direto em demurrage_invoices</x:v>
      </x:c>
      <x:c r="L44" s="34" t="str">
        <x:v>Invalida invoices e KPIs</x:v>
      </x:c>
      <x:c r="M44" s="34" t="str">
        <x:v>Status incompatível ou ROE indisponível rejeita</x:v>
      </x:c>
      <x:c r="N44" s="34" t="str">
        <x:v>Código: Demurrage.tsx, demurrageInvoices.ts</x:v>
      </x:c>
      <x:c r="O44" s="34" t="str">
        <x:v>docs/modules/demurrage.md</x:v>
      </x:c>
      <x:c r="P44" s="34" t="str">
        <x:v>Runtime</x:v>
      </x:c>
      <x:c r="Q44" s="34" t="str">
        <x:v>Blocked</x:v>
      </x:c>
      <x:c r="R44" s="34" t="str"/>
      <x:c r="S44" s="34" t="str">
        <x:v>Not Needed</x:v>
      </x:c>
      <x:c r="T44" s="34" t="str">
        <x:v>Not Applicable</x:v>
      </x:c>
      <x:c r="U44" s="34" t="str">
        <x:v>Passed</x:v>
      </x:c>
      <x:c r="V44" s="34" t="str">
        <x:v>markInvoicePaid test marks an issued invoice paid and rejects marking a draft.</x:v>
      </x:c>
      <x:c r="W44" s="34" t="str">
        <x:v>src/services/demurrage/__tests__/demurrageService.test.ts</x:v>
      </x:c>
    </x:row>
    <x:row r="45" ht="54" customHeight="1">
      <x:c r="A45" s="33" t="str">
        <x:v>US-044</x:v>
      </x:c>
      <x:c r="B45" s="33" t="str">
        <x:v>demurrage</x:v>
      </x:c>
      <x:c r="C45" s="33" t="str">
        <x:v>/demurrage · desmarcar pagamento</x:v>
      </x:c>
      <x:c r="D45" s="33" t="str">
        <x:v>/demurrage · desmarcar pagamento</x:v>
      </x:c>
      <x:c r="E45" s="33" t="str">
        <x:v>Usuário interno</x:v>
      </x:c>
      <x:c r="F45" s="34" t="str">
        <x:v>Como usuário interno, quero /demurrage · desmarcar pagamento para concluir o objetivo operacional descrito pela interface.</x:v>
      </x:c>
      <x:c r="G45" s="34" t="str">
        <x:v>Ao /demurrage · desmarcar pagamento, o sistema deve executar unmarkInvoicePaid. Persistência esperada: UPDATE direto para issued, paid_at=null. Resultado observável: Invalida invoices e KPIs. Em falha: Erro mostra toast; não exige justificativa nem chama o RPC de reversão.</x:v>
      </x:c>
      <x:c r="H45" s="34" t="str">
        <x:v>UI oferece para paid; confirmação aceita</x:v>
      </x:c>
      <x:c r="I45" s="34" t="str">
        <x:v>handleUnmarkInvoicePaid; unpayMutation</x:v>
      </x:c>
      <x:c r="J45" s="34" t="str">
        <x:v>unmarkInvoicePaid</x:v>
      </x:c>
      <x:c r="K45" s="34" t="str">
        <x:v>UPDATE direto para issued, paid_at=null</x:v>
      </x:c>
      <x:c r="L45" s="34" t="str">
        <x:v>Invalida invoices e KPIs</x:v>
      </x:c>
      <x:c r="M45" s="34" t="str">
        <x:v>Erro mostra toast; não exige justificativa nem chama o RPC de reversão</x:v>
      </x:c>
      <x:c r="N45" s="34" t="str">
        <x:v>Código: Demurrage.tsx, demurrageInvoices.ts</x:v>
      </x:c>
      <x:c r="O45" s="34" t="str">
        <x:v>docs/modules/demurrage.md</x:v>
      </x:c>
      <x:c r="P45" s="34" t="str">
        <x:v>Runtime</x:v>
      </x:c>
      <x:c r="Q45" s="34" t="str">
        <x:v>Failed</x:v>
      </x:c>
      <x:c r="R45" s="34" t="str">
        <x:v>DEF-024</x:v>
      </x:c>
      <x:c r="S45" s="34" t="str">
        <x:v>Fixed</x:v>
      </x:c>
      <x:c r="T45" s="34" t="str">
        <x:v>Passed</x:v>
      </x:c>
      <x:c r="U45" s="34" t="str">
        <x:v>Passed</x:v>
      </x:c>
      <x:c r="V45" s="34" t="str">
        <x:v>Post-fix focused tests passed: DEF-024</x:v>
      </x:c>
      <x:c r="W45" s="34" t="str">
        <x:v>Desmarcar pagamento em Demurrage contorna o fluxo auditado de reversão</x:v>
      </x:c>
    </x:row>
    <x:row r="46" ht="54" customHeight="1">
      <x:c r="A46" s="33" t="str">
        <x:v>US-045</x:v>
      </x:c>
      <x:c r="B46" s="33" t="str">
        <x:v>demurrage</x:v>
      </x:c>
      <x:c r="C46" s="33" t="str">
        <x:v>/demurrage · cancelar invoice</x:v>
      </x:c>
      <x:c r="D46" s="33" t="str">
        <x:v>/demurrage · cancelar invoice</x:v>
      </x:c>
      <x:c r="E46" s="33" t="str">
        <x:v>Usuário interno</x:v>
      </x:c>
      <x:c r="F46" s="34" t="str">
        <x:v>Como usuário interno, quero /demurrage · cancelar invoice para concluir o objetivo operacional descrito pela interface.</x:v>
      </x:c>
      <x:c r="G46" s="34" t="str">
        <x:v>Ao /demurrage · cancelar invoice, o sistema deve executar cancelDemurrageInvoice. Persistência esperada: UPDATE direto de status='cancelled'. Resultado observável: Invalida invoices e KPIs. Em falha: Erro mostra toast; o serviço não valida pagamentos/status.</x:v>
      </x:c>
      <x:c r="H46" s="34" t="str">
        <x:v>UI oferece no rascunho; confirmação aceita</x:v>
      </x:c>
      <x:c r="I46" s="34" t="str">
        <x:v>handleCancelInvoice; cancelMutation</x:v>
      </x:c>
      <x:c r="J46" s="34" t="str">
        <x:v>cancelDemurrageInvoice</x:v>
      </x:c>
      <x:c r="K46" s="34" t="str">
        <x:v>UPDATE direto de status='cancelled'</x:v>
      </x:c>
      <x:c r="L46" s="34" t="str">
        <x:v>Invalida invoices e KPIs</x:v>
      </x:c>
      <x:c r="M46" s="34" t="str">
        <x:v>Erro mostra toast; o serviço não valida pagamentos/status</x:v>
      </x:c>
      <x:c r="N46" s="34" t="str">
        <x:v>Código: Demurrage.tsx, demurrageInvoices.ts</x:v>
      </x:c>
      <x:c r="O46" s="34" t="str">
        <x:v>docs/modules/demurrage.md</x:v>
      </x:c>
      <x:c r="P46" s="34" t="str">
        <x:v>Runtime</x:v>
      </x:c>
      <x:c r="Q46" s="34" t="str">
        <x:v>Blocked</x:v>
      </x:c>
      <x:c r="R46" s="34" t="str"/>
      <x:c r="S46" s="34" t="str">
        <x:v>Not Needed</x:v>
      </x:c>
      <x:c r="T46" s="34" t="str">
        <x:v>Not Applicable</x:v>
      </x:c>
      <x:c r="U46" s="34" t="str">
        <x:v>Passed</x:v>
      </x:c>
      <x:c r="V46" s="34" t="str">
        <x:v>cancelDemurrageInvoice test sets the invoice status to cancelled.</x:v>
      </x:c>
      <x:c r="W46" s="34" t="str">
        <x:v>src/services/demurrage/__tests__/demurrageService.test.ts</x:v>
      </x:c>
    </x:row>
    <x:row r="47" ht="54" customHeight="1">
      <x:c r="A47" s="33" t="str">
        <x:v>US-046</x:v>
      </x:c>
      <x:c r="B47" s="33" t="str">
        <x:v>demurrage</x:v>
      </x:c>
      <x:c r="C47" s="33" t="str">
        <x:v>/demurrage · aplicar ou remover desconto</x:v>
      </x:c>
      <x:c r="D47" s="33" t="str">
        <x:v>/demurrage · aplicar ou remover desconto</x:v>
      </x:c>
      <x:c r="E47" s="33" t="str">
        <x:v>Usuário interno</x:v>
      </x:c>
      <x:c r="F47" s="34" t="str">
        <x:v>Como usuário interno, quero /demurrage · aplicar ou remover desconto para concluir o objetivo operacional descrito pela interface.</x:v>
      </x:c>
      <x:c r="G47" s="34" t="str">
        <x:v>Ao /demurrage · aplicar ou remover desconto, o sistema deve executar demurrageDiscountSchema → updateDemurrageInvoice. Persistência esperada: UPDATE direto dos campos de desconto. Resultado observável: Invalida invoices e KPIs. Em falha: Validação rejeita modo/valor inválido; erro do banco mostra toast.</x:v>
      </x:c>
      <x:c r="H47" s="34" t="str">
        <x:v>Invoice visível; percentual entre 0 e 100 ou valor fixo não negativo</x:v>
      </x:c>
      <x:c r="I47" s="34" t="str">
        <x:v>Modal Desconto; discountMutation</x:v>
      </x:c>
      <x:c r="J47" s="34" t="str">
        <x:v>demurrageDiscountSchema → updateDemurrageInvoice</x:v>
      </x:c>
      <x:c r="K47" s="34" t="str">
        <x:v>UPDATE direto dos campos de desconto</x:v>
      </x:c>
      <x:c r="L47" s="34" t="str">
        <x:v>Invalida invoices e KPIs</x:v>
      </x:c>
      <x:c r="M47" s="34" t="str">
        <x:v>Validação rejeita modo/valor inválido; erro do banco mostra toast</x:v>
      </x:c>
      <x:c r="N47" s="34" t="str">
        <x:v>Código/Teste: Demurrage.tsx, financialValidation.ts, financialValidation.test.ts</x:v>
      </x:c>
      <x:c r="O47" s="34" t="str">
        <x:v>docs/modules/demurrage.md</x:v>
      </x:c>
      <x:c r="P47" s="34" t="str">
        <x:v>Automated</x:v>
      </x:c>
      <x:c r="Q47" s="34" t="str">
        <x:v>Passed</x:v>
      </x:c>
      <x:c r="R47" s="34" t="str"/>
      <x:c r="S47" s="34" t="str">
        <x:v>Not Needed</x:v>
      </x:c>
      <x:c r="T47" s="34" t="str">
        <x:v>Not Applicable</x:v>
      </x:c>
      <x:c r="U47" s="34" t="str">
        <x:v>Passed</x:v>
      </x:c>
      <x:c r="V47" s="34" t="str">
        <x:v>npm test -- --maxWorkers=4 — 598 passed, 9 skipped; focused evidence named in baseline</x:v>
      </x:c>
      <x:c r="W47" s="34" t="str"/>
    </x:row>
    <x:row r="48" ht="54" customHeight="1">
      <x:c r="A48" s="33" t="str">
        <x:v>US-047</x:v>
      </x:c>
      <x:c r="B48" s="33" t="str">
        <x:v>demurrage</x:v>
      </x:c>
      <x:c r="C48" s="33" t="str">
        <x:v>/demurrage · abrir/atualizar disputa</x:v>
      </x:c>
      <x:c r="D48" s="33" t="str">
        <x:v>/demurrage · abrir/atualizar disputa</x:v>
      </x:c>
      <x:c r="E48" s="33" t="str">
        <x:v>Usuário interno</x:v>
      </x:c>
      <x:c r="F48" s="34" t="str">
        <x:v>Como usuário interno, quero /demurrage · abrir/atualizar disputa para concluir o objetivo operacional descrito pela interface.</x:v>
      </x:c>
      <x:c r="G48" s="34" t="str">
        <x:v>Ao /demurrage · abrir/atualizar disputa, o sistema deve executar updateDemurrageInvoice. Persistência esperada: UPDATE direto de dispute_open, assunto, motivo, status e notas. Resultado observável: Invalida invoices e KPIs. Em falha: Não há schema local específico; erro do banco mostra toast.</x:v>
      </x:c>
      <x:c r="H48" s="34" t="str">
        <x:v>Invoice visível</x:v>
      </x:c>
      <x:c r="I48" s="34" t="str">
        <x:v>Modal Disputa; disputeMutation</x:v>
      </x:c>
      <x:c r="J48" s="34" t="str">
        <x:v>updateDemurrageInvoice</x:v>
      </x:c>
      <x:c r="K48" s="34" t="str">
        <x:v>UPDATE direto de dispute_open, assunto, motivo, status e notas</x:v>
      </x:c>
      <x:c r="L48" s="34" t="str">
        <x:v>Invalida invoices e KPIs</x:v>
      </x:c>
      <x:c r="M48" s="34" t="str">
        <x:v>Não há schema local específico; erro do banco mostra toast</x:v>
      </x:c>
      <x:c r="N48" s="34" t="str">
        <x:v>Código: Demurrage.tsx, demurrageInvoices.ts</x:v>
      </x:c>
      <x:c r="O48" s="34" t="str">
        <x:v>docs/modules/demurrage.md</x:v>
      </x:c>
      <x:c r="P48" s="34" t="str">
        <x:v>Runtime</x:v>
      </x:c>
      <x:c r="Q48" s="34" t="str">
        <x:v>Blocked</x:v>
      </x:c>
      <x:c r="R48" s="34" t="str"/>
      <x:c r="S48" s="34" t="str">
        <x:v>Not Needed</x:v>
      </x:c>
      <x:c r="T48" s="34" t="str">
        <x:v>Not Applicable</x:v>
      </x:c>
      <x:c r="U48" s="34" t="str">
        <x:v>Passed</x:v>
      </x:c>
      <x:c r="V48" s="34" t="str">
        <x:v>updateDemurrageInvoice test applies the dispute patch to the invoice.</x:v>
      </x:c>
      <x:c r="W48" s="34" t="str">
        <x:v>src/services/demurrage/__tests__/demurrageService.test.ts</x:v>
      </x:c>
    </x:row>
    <x:row r="49" ht="54" customHeight="1">
      <x:c r="A49" s="33" t="str">
        <x:v>US-048</x:v>
      </x:c>
      <x:c r="B49" s="33" t="str">
        <x:v>demurrage</x:v>
      </x:c>
      <x:c r="C49" s="33" t="str">
        <x:v>/demurrage · imprimir fatura/recibo</x:v>
      </x:c>
      <x:c r="D49" s="33" t="str">
        <x:v>/demurrage · imprimir fatura/recibo</x:v>
      </x:c>
      <x:c r="E49" s="33" t="str">
        <x:v>Usuário interno</x:v>
      </x:c>
      <x:c r="F49" s="34" t="str">
        <x:v>Como usuário interno, quero /demurrage · imprimir fatura/recibo para concluir o objetivo operacional descrito pela interface.</x:v>
      </x:c>
      <x:c r="G49" s="34" t="str">
        <x:v>Ao /demurrage · imprimir fatura/recibo, o sistema deve executar Render React → window.print(). Persistência esperada: Sem escrita. Resultado observável: Abre diálogo nativo; fatura usa QR PIX e recibo usa carimbo PAGO. Em falha: Popup/print dependem do navegador; não há geração de PDF no servidor.</x:v>
      </x:c>
      <x:c r="H49" s="34" t="str">
        <x:v>Invoice detail carregado; issued ou paid na UI</x:v>
      </x:c>
      <x:c r="I49" s="34" t="str">
        <x:v>Visualizador e botão Imprimir</x:v>
      </x:c>
      <x:c r="J49" s="34" t="str">
        <x:v>Render React → window.print()</x:v>
      </x:c>
      <x:c r="K49" s="34" t="str">
        <x:v>Sem escrita</x:v>
      </x:c>
      <x:c r="L49" s="34" t="str">
        <x:v>Abre diálogo nativo; fatura usa QR PIX e recibo usa carimbo PAGO</x:v>
      </x:c>
      <x:c r="M49" s="34" t="str">
        <x:v>Popup/print dependem do navegador; não há geração de PDF no servidor</x:v>
      </x:c>
      <x:c r="N49" s="34" t="str">
        <x:v>Código: Demurrage.tsx, InvoiceDocument.tsx, InvoiceDocumentKit.tsx</x:v>
      </x:c>
      <x:c r="O49" s="34" t="str">
        <x:v>docs/modules/demurrage.md</x:v>
      </x:c>
      <x:c r="P49" s="34" t="str">
        <x:v>Runtime</x:v>
      </x:c>
      <x:c r="Q49" s="34" t="str">
        <x:v>Blocked</x:v>
      </x:c>
      <x:c r="R49" s="34" t="str"/>
      <x:c r="S49" s="34" t="str">
        <x:v>Not Needed</x:v>
      </x:c>
      <x:c r="T49" s="34" t="str">
        <x:v>Not Applicable</x:v>
      </x:c>
      <x:c r="U49" s="34" t="str">
        <x:v>Passed</x:v>
      </x:c>
      <x:c r="V49" s="34" t="str">
        <x:v>InvoiceDocument test renders the demurrage invoice and the receipt variants.</x:v>
      </x:c>
      <x:c r="W49" s="34" t="str">
        <x:v>src/components/demurrage/__tests__/InvoiceDocument.behavior.test.tsx</x:v>
      </x:c>
    </x:row>
    <x:row r="50" ht="54" customHeight="1">
      <x:c r="A50" s="33" t="str">
        <x:v>US-049</x:v>
      </x:c>
      <x:c r="B50" s="33" t="str">
        <x:v>demurrage</x:v>
      </x:c>
      <x:c r="C50" s="33" t="str">
        <x:v>/reconciliacao · confirmar PIX</x:v>
      </x:c>
      <x:c r="D50" s="33" t="str">
        <x:v>/reconciliacao · confirmar PIX</x:v>
      </x:c>
      <x:c r="E50" s="33" t="str">
        <x:v>Usuário interno</x:v>
      </x:c>
      <x:c r="F50" s="34" t="str">
        <x:v>Como usuário interno, quero /reconciliacao · confirmar pix para concluir o objetivo operacional descrito pela interface.</x:v>
      </x:c>
      <x:c r="G50" s="34" t="str">
        <x:v>Ao /reconciliacao · confirmar pix, o sistema deve executar confirmUnifiedPixReconciliation → RPC confirm_unified_pix_matches → lote confirm_demurrage_pix_matches. Persistência esperada: UPDATE em lote de demurrage_invoices para paid, com paid_at, pix_txid, conciliated_by_extract. Resultado observável: Invalida invoices locais/demurrage, KPIs, B/Ls, clientes e histórico. Em falha: Wrapper rejeita data, origem, valor divergente e contagem parcial.</x:v>
      </x:c>
      <x:c r="H50" s="34" t="str">
        <x:v>Match por TXID sem ambiguidade; data válida; valor exato</x:v>
      </x:c>
      <x:c r="I50" s="34" t="str">
        <x:v>Reconciliacao.confirmMutation</x:v>
      </x:c>
      <x:c r="J50" s="34" t="str">
        <x:v>confirmUnifiedPixReconciliation → RPC confirm_unified_pix_matches → lote confirm_demurrage_pix_matches</x:v>
      </x:c>
      <x:c r="K50" s="34" t="str">
        <x:v>UPDATE em lote de demurrage_invoices para paid, com paid_at, pix_txid, conciliated_by_extract</x:v>
      </x:c>
      <x:c r="L50" s="34" t="str">
        <x:v>Invalida invoices locais/demurrage, KPIs, B/Ls, clientes e histórico</x:v>
      </x:c>
      <x:c r="M50" s="34" t="str">
        <x:v>Wrapper rejeita data, origem, valor divergente e contagem parcial</x:v>
      </x:c>
      <x:c r="N50" s="34" t="str">
        <x:v>Código/Teste: reconciliacao.ts, 20260612161000_confirm_unified_pix_matches.sql, reconciliacao.test.ts</x:v>
      </x:c>
      <x:c r="O50" s="34" t="str">
        <x:v>docs/modules/demurrage.md</x:v>
      </x:c>
      <x:c r="P50" s="34" t="str">
        <x:v>Automated</x:v>
      </x:c>
      <x:c r="Q50" s="34" t="str">
        <x:v>Passed</x:v>
      </x:c>
      <x:c r="R50" s="34" t="str"/>
      <x:c r="S50" s="34" t="str">
        <x:v>Not Needed</x:v>
      </x:c>
      <x:c r="T50" s="34" t="str">
        <x:v>Not Applicable</x:v>
      </x:c>
      <x:c r="U50" s="34" t="str">
        <x:v>Passed</x:v>
      </x:c>
      <x:c r="V50" s="34" t="str">
        <x:v>npm test -- --maxWorkers=4 — 598 passed, 9 skipped; focused evidence named in baseline</x:v>
      </x:c>
      <x:c r="W50" s="34" t="str"/>
    </x:row>
    <x:row r="51" ht="54" customHeight="1">
      <x:c r="A51" s="33" t="str">
        <x:v>US-050</x:v>
      </x:c>
      <x:c r="B51" s="33" t="str">
        <x:v>demurrage</x:v>
      </x:c>
      <x:c r="C51" s="33" t="str">
        <x:v>/reconciliacao · reverter baixa</x:v>
      </x:c>
      <x:c r="D51" s="33" t="str">
        <x:v>/reconciliacao · reverter baixa</x:v>
      </x:c>
      <x:c r="E51" s="33" t="str">
        <x:v>Usuário interno</x:v>
      </x:c>
      <x:c r="F51" s="34" t="str">
        <x:v>Como usuário interno, quero /reconciliacao · reverter baixa para concluir o objetivo operacional descrito pela interface.</x:v>
      </x:c>
      <x:c r="G51" s="34" t="str">
        <x:v>Ao /reconciliacao · reverter baixa, o sistema deve executar reverseDemurragePayment → RPC reverse_demurrage_payment. Persistência esperada: UPDATE para issued, limpa paid_at/pix_txid; INSERT em audit_logs. Resultado observável: Invalida invoices de demurrage e histórico. Em falha: 42501, invoice ausente, status diferente de paid ou justificativa vazia.</x:v>
      </x:c>
      <x:c r="H51" s="34" t="str">
        <x:v>Admin ativo; invoice paid; justificativa não vazia</x:v>
      </x:c>
      <x:c r="I51" s="34" t="str">
        <x:v>demurrageReversalMutation</x:v>
      </x:c>
      <x:c r="J51" s="34" t="str">
        <x:v>reverseDemurragePayment → RPC reverse_demurrage_payment</x:v>
      </x:c>
      <x:c r="K51" s="34" t="str">
        <x:v>UPDATE para issued, limpa paid_at/pix_txid; INSERT em audit_logs</x:v>
      </x:c>
      <x:c r="L51" s="34" t="str">
        <x:v>Invalida invoices de demurrage e histórico</x:v>
      </x:c>
      <x:c r="M51" s="34" t="str">
        <x:v>42501, invoice ausente, status diferente de paid ou justificativa vazia</x:v>
      </x:c>
      <x:c r="N51" s="34" t="str">
        <x:v>Código/Teste: Reconciliacao.tsx, reconciliacao.ts, 20260614180000_require_justification_on_payment_reversal.sql, reversalJustificationMigration.test.ts</x:v>
      </x:c>
      <x:c r="O51" s="34" t="str">
        <x:v>docs/modules/demurrage.md</x:v>
      </x:c>
      <x:c r="P51" s="34" t="str">
        <x:v>Automated</x:v>
      </x:c>
      <x:c r="Q51" s="34" t="str">
        <x:v>Passed</x:v>
      </x:c>
      <x:c r="R51" s="34" t="str"/>
      <x:c r="S51" s="34" t="str">
        <x:v>Not Needed</x:v>
      </x:c>
      <x:c r="T51" s="34" t="str">
        <x:v>Not Applicable</x:v>
      </x:c>
      <x:c r="U51" s="34" t="str">
        <x:v>Passed</x:v>
      </x:c>
      <x:c r="V51" s="34" t="str">
        <x:v>npm test -- --maxWorkers=4 — 598 passed, 9 skipped; focused evidence named in baseline</x:v>
      </x:c>
      <x:c r="W51" s="34" t="str"/>
    </x:row>
    <x:row r="52" ht="54" customHeight="1">
      <x:c r="A52" s="33" t="str">
        <x:v>US-051</x:v>
      </x:c>
      <x:c r="B52" s="33" t="str">
        <x:v>demurrage</x:v>
      </x:c>
      <x:c r="C52" s="33" t="str">
        <x:v>/demurrage/taxas · listar</x:v>
      </x:c>
      <x:c r="D52" s="33" t="str">
        <x:v>/demurrage/taxas · listar</x:v>
      </x:c>
      <x:c r="E52" s="33" t="str">
        <x:v>Usuário interno</x:v>
      </x:c>
      <x:c r="F52" s="34" t="str">
        <x:v>Como usuário interno, quero /demurrage/taxas · listar para concluir o objetivo operacional descrito pela interface.</x:v>
      </x:c>
      <x:c r="G52" s="34" t="str">
        <x:v>Ao /demurrage/taxas · listar, o sistema deve executar listDemurrageRates. Persistência esperada: SELECT em demurrage_rates. Resultado observável: Query ['demurrage-rates']. Em falha: Erro mostra InlineError.</x:v>
      </x:c>
      <x:c r="H52" s="34" t="str">
        <x:v>Usuário interno ativo</x:v>
      </x:c>
      <x:c r="I52" s="34" t="str">
        <x:v>Query da página</x:v>
      </x:c>
      <x:c r="J52" s="34" t="str">
        <x:v>listDemurrageRates</x:v>
      </x:c>
      <x:c r="K52" s="34" t="str">
        <x:v>SELECT em demurrage_rates</x:v>
      </x:c>
      <x:c r="L52" s="34" t="str">
        <x:v>Query ['demurrage-rates']</x:v>
      </x:c>
      <x:c r="M52" s="34" t="str">
        <x:v>Erro mostra InlineError</x:v>
      </x:c>
      <x:c r="N52" s="34" t="str">
        <x:v>Código: DemurrageRates.tsx</x:v>
      </x:c>
      <x:c r="O52" s="34" t="str">
        <x:v>docs/modules/demurrage.md</x:v>
      </x:c>
      <x:c r="P52" s="34" t="str">
        <x:v>Runtime</x:v>
      </x:c>
      <x:c r="Q52" s="34" t="str">
        <x:v>Blocked</x:v>
      </x:c>
      <x:c r="R52" s="34" t="str"/>
      <x:c r="S52" s="34" t="str">
        <x:v>Not Needed</x:v>
      </x:c>
      <x:c r="T52" s="34" t="str">
        <x:v>Not Applicable</x:v>
      </x:c>
      <x:c r="U52" s="34" t="str">
        <x:v>Passed</x:v>
      </x:c>
      <x:c r="V52" s="34" t="str">
        <x:v>DemurrageRates page test lists the configured tariffs.</x:v>
      </x:c>
      <x:c r="W52" s="34" t="str">
        <x:v>src/pages/__tests__/DemurrageRates.behavior.test.tsx</x:v>
      </x:c>
    </x:row>
    <x:row r="53" ht="54" customHeight="1">
      <x:c r="A53" s="33" t="str">
        <x:v>US-052</x:v>
      </x:c>
      <x:c r="B53" s="33" t="str">
        <x:v>demurrage</x:v>
      </x:c>
      <x:c r="C53" s="33" t="str">
        <x:v>/demurrage/taxas · criar/editar</x:v>
      </x:c>
      <x:c r="D53" s="33" t="str">
        <x:v>/demurrage/taxas · criar/editar</x:v>
      </x:c>
      <x:c r="E53" s="33" t="str">
        <x:v>Usuário interno</x:v>
      </x:c>
      <x:c r="F53" s="34" t="str">
        <x:v>Como usuário interno, quero /demurrage/taxas · criar/editar para concluir o objetivo operacional descrito pela interface.</x:v>
      </x:c>
      <x:c r="G53" s="34" t="str">
        <x:v>Ao /demurrage/taxas · criar/editar, o sistema deve executar upsertDemurrageRate. Persistência esperada: UPSERT em demurrage_rates. Resultado observável: Limpa cache em memória e invalida ['demurrage-rates']. Em falha: Validação mínima na UI; policy bloqueia não-admin.</x:v>
      </x:c>
      <x:c r="H53" s="34" t="str">
        <x:v>Admin; tipo de container preenchido</x:v>
      </x:c>
      <x:c r="I53" s="34" t="str">
        <x:v>handleSave</x:v>
      </x:c>
      <x:c r="J53" s="34" t="str">
        <x:v>upsertDemurrageRate</x:v>
      </x:c>
      <x:c r="K53" s="34" t="str">
        <x:v>UPSERT em demurrage_rates</x:v>
      </x:c>
      <x:c r="L53" s="34" t="str">
        <x:v>Limpa cache em memória e invalida ['demurrage-rates']</x:v>
      </x:c>
      <x:c r="M53" s="34" t="str">
        <x:v>Validação mínima na UI; policy bloqueia não-admin</x:v>
      </x:c>
      <x:c r="N53" s="34" t="str">
        <x:v>Código: DemurrageRates.tsx, demurrageRates.ts</x:v>
      </x:c>
      <x:c r="O53" s="34" t="str">
        <x:v>docs/modules/demurrage.md</x:v>
      </x:c>
      <x:c r="P53" s="34" t="str">
        <x:v>Runtime</x:v>
      </x:c>
      <x:c r="Q53" s="34" t="str">
        <x:v>Blocked</x:v>
      </x:c>
      <x:c r="R53" s="34" t="str"/>
      <x:c r="S53" s="34" t="str">
        <x:v>Not Needed</x:v>
      </x:c>
      <x:c r="T53" s="34" t="str">
        <x:v>Not Applicable</x:v>
      </x:c>
      <x:c r="U53" s="34" t="str">
        <x:v>Passed</x:v>
      </x:c>
      <x:c r="V53" s="34" t="str">
        <x:v>DemurrageRates page test creates a tariff via the modal (upsert).</x:v>
      </x:c>
      <x:c r="W53" s="34" t="str">
        <x:v>src/pages/__tests__/DemurrageRates.behavior.test.tsx</x:v>
      </x:c>
    </x:row>
    <x:row r="54" ht="54" customHeight="1">
      <x:c r="A54" s="33" t="str">
        <x:v>US-053</x:v>
      </x:c>
      <x:c r="B54" s="33" t="str">
        <x:v>demurrage</x:v>
      </x:c>
      <x:c r="C54" s="33" t="str">
        <x:v>/demurrage/taxas · ativar/desativar</x:v>
      </x:c>
      <x:c r="D54" s="33" t="str">
        <x:v>/demurrage/taxas · ativar/desativar</x:v>
      </x:c>
      <x:c r="E54" s="33" t="str">
        <x:v>Usuário interno</x:v>
      </x:c>
      <x:c r="F54" s="34" t="str">
        <x:v>Como usuário interno, quero /demurrage/taxas · ativar/desativar para concluir o objetivo operacional descrito pela interface.</x:v>
      </x:c>
      <x:c r="G54" s="34" t="str">
        <x:v>Ao /demurrage/taxas · ativar/desativar, o sistema deve executar toggleDemurrageRateActive. Persistência esperada: UPDATE de active. Resultado observável: Limpa cache em memória e invalida ['demurrage-rates']. Em falha: Erro mostra toast.</x:v>
      </x:c>
      <x:c r="H54" s="34" t="str">
        <x:v>Admin</x:v>
      </x:c>
      <x:c r="I54" s="34" t="str">
        <x:v>handleToggleActive</x:v>
      </x:c>
      <x:c r="J54" s="34" t="str">
        <x:v>toggleDemurrageRateActive</x:v>
      </x:c>
      <x:c r="K54" s="34" t="str">
        <x:v>UPDATE de active</x:v>
      </x:c>
      <x:c r="L54" s="34" t="str">
        <x:v>Limpa cache em memória e invalida ['demurrage-rates']</x:v>
      </x:c>
      <x:c r="M54" s="34" t="str">
        <x:v>Erro mostra toast</x:v>
      </x:c>
      <x:c r="N54" s="34" t="str">
        <x:v>Código: DemurrageRates.tsx</x:v>
      </x:c>
      <x:c r="O54" s="34" t="str">
        <x:v>docs/modules/demurrage.md</x:v>
      </x:c>
      <x:c r="P54" s="34" t="str">
        <x:v>Runtime</x:v>
      </x:c>
      <x:c r="Q54" s="34" t="str">
        <x:v>Blocked</x:v>
      </x:c>
      <x:c r="R54" s="34" t="str"/>
      <x:c r="S54" s="34" t="str">
        <x:v>Not Needed</x:v>
      </x:c>
      <x:c r="T54" s="34" t="str">
        <x:v>Not Applicable</x:v>
      </x:c>
      <x:c r="U54" s="34" t="str">
        <x:v>Passed</x:v>
      </x:c>
      <x:c r="V54" s="34" t="str">
        <x:v>DemurrageRates page test toggles the active flag from the status badge.</x:v>
      </x:c>
      <x:c r="W54" s="34" t="str">
        <x:v>src/pages/__tests__/DemurrageRates.behavior.test.tsx</x:v>
      </x:c>
    </x:row>
    <x:row r="55" ht="54" customHeight="1">
      <x:c r="A55" s="33" t="str">
        <x:v>US-054</x:v>
      </x:c>
      <x:c r="B55" s="33" t="str">
        <x:v>demurrage</x:v>
      </x:c>
      <x:c r="C55" s="33" t="str">
        <x:v>/demurrage/taxas · excluir</x:v>
      </x:c>
      <x:c r="D55" s="33" t="str">
        <x:v>/demurrage/taxas · excluir</x:v>
      </x:c>
      <x:c r="E55" s="33" t="str">
        <x:v>Usuário interno</x:v>
      </x:c>
      <x:c r="F55" s="34" t="str">
        <x:v>Como usuário interno, quero /demurrage/taxas · excluir para concluir o objetivo operacional descrito pela interface.</x:v>
      </x:c>
      <x:c r="G55" s="34" t="str">
        <x:v>Ao /demurrage/taxas · excluir, o sistema deve executar deleteDemurrageRate. Persistência esperada: DELETE em demurrage_rates. Resultado observável: Limpa cache em memória e invalida ['demurrage-rates']. Em falha: Erro mostra toast; não há confirmação na página atual.</x:v>
      </x:c>
      <x:c r="H55" s="34" t="str">
        <x:v>Admin</x:v>
      </x:c>
      <x:c r="I55" s="34" t="str">
        <x:v>handleDelete</x:v>
      </x:c>
      <x:c r="J55" s="34" t="str">
        <x:v>deleteDemurrageRate</x:v>
      </x:c>
      <x:c r="K55" s="34" t="str">
        <x:v>DELETE em demurrage_rates</x:v>
      </x:c>
      <x:c r="L55" s="34" t="str">
        <x:v>Limpa cache em memória e invalida ['demurrage-rates']</x:v>
      </x:c>
      <x:c r="M55" s="34" t="str">
        <x:v>Erro mostra toast; não há confirmação na página atual</x:v>
      </x:c>
      <x:c r="N55" s="34" t="str">
        <x:v>Código: DemurrageRates.tsx</x:v>
      </x:c>
      <x:c r="O55" s="34" t="str">
        <x:v>docs/modules/demurrage.md</x:v>
      </x:c>
      <x:c r="P55" s="34" t="str">
        <x:v>Runtime</x:v>
      </x:c>
      <x:c r="Q55" s="34" t="str">
        <x:v>Blocked</x:v>
      </x:c>
      <x:c r="R55" s="34" t="str"/>
      <x:c r="S55" s="34" t="str">
        <x:v>Not Needed</x:v>
      </x:c>
      <x:c r="T55" s="34" t="str">
        <x:v>Not Applicable</x:v>
      </x:c>
      <x:c r="U55" s="34" t="str">
        <x:v>Passed</x:v>
      </x:c>
      <x:c r="V55" s="34" t="str">
        <x:v>DemurrageRates page test deletes a tariff by id.</x:v>
      </x:c>
      <x:c r="W55" s="34" t="str">
        <x:v>src/pages/__tests__/DemurrageRates.behavior.test.tsx</x:v>
      </x:c>
    </x:row>
    <x:row r="56" ht="54" customHeight="1">
      <x:c r="A56" s="33" t="str">
        <x:v>US-055</x:v>
      </x:c>
      <x:c r="B56" s="33" t="str">
        <x:v>faturamento</x:v>
      </x:c>
      <x:c r="C56" s="33" t="str">
        <x:v>/faturamento · filtrar/listar invoices</x:v>
      </x:c>
      <x:c r="D56" s="33" t="str">
        <x:v>/faturamento · filtrar/listar invoices</x:v>
      </x:c>
      <x:c r="E56" s="33" t="str">
        <x:v>Usuário interno</x:v>
      </x:c>
      <x:c r="F56" s="34" t="str">
        <x:v>Como usuário interno, quero /faturamento · filtrar/listar invoices para concluir o objetivo operacional descrito pela interface.</x:v>
      </x:c>
      <x:c r="G56" s="34" t="str">
        <x:v>Ao /faturamento · filtrar/listar invoices, o sistema deve executar useInvoices → listInvoices. Persistência esperada: SELECT invoices, invoice_bls, invoice_receivable_links, payments; filtros auxiliares consultam B/Ls/viagens. Resultado observável: Query queryKeys.invoices.list(filters); paginação remota da lista principal. Em falha: Erro principal vira InlineError; filtros sem IDs retornam vazio sem consultar invoices.</x:v>
      </x:c>
      <x:c r="H56" s="34" t="str">
        <x:v>Sessão interna; filtros opcionais</x:v>
      </x:c>
      <x:c r="I56" s="34" t="str">
        <x:v>Faturamento → InvoiceFiltersBar / InvoicesTable</x:v>
      </x:c>
      <x:c r="J56" s="34" t="str">
        <x:v>useInvoices → listInvoices</x:v>
      </x:c>
      <x:c r="K56" s="34" t="str">
        <x:v>SELECT invoices, invoice_bls, invoice_receivable_links, payments; filtros auxiliares consultam B/Ls/viagens</x:v>
      </x:c>
      <x:c r="L56" s="34" t="str">
        <x:v>Query queryKeys.invoices.list(filters); paginação remota da lista principal</x:v>
      </x:c>
      <x:c r="M56" s="34" t="str">
        <x:v>Erro principal vira InlineError; filtros sem IDs retornam vazio sem consultar invoices</x:v>
      </x:c>
      <x:c r="N56" s="34" t="str">
        <x:v>Código: src/pages/Faturamento.tsx, src/services/billing.ts · Teste: src/services/__tests__/billing.test.ts</x:v>
      </x:c>
      <x:c r="O56" s="34" t="str">
        <x:v>docs/modules/faturamento.md</x:v>
      </x:c>
      <x:c r="P56" s="34" t="str">
        <x:v>Automated</x:v>
      </x:c>
      <x:c r="Q56" s="34" t="str">
        <x:v>Passed</x:v>
      </x:c>
      <x:c r="R56" s="34" t="str"/>
      <x:c r="S56" s="34" t="str">
        <x:v>Not Needed</x:v>
      </x:c>
      <x:c r="T56" s="34" t="str">
        <x:v>Not Applicable</x:v>
      </x:c>
      <x:c r="U56" s="34" t="str">
        <x:v>Passed</x:v>
      </x:c>
      <x:c r="V56" s="34" t="str">
        <x:v>npm test -- --maxWorkers=4 — 598 passed, 9 skipped; focused evidence named in baseline</x:v>
      </x:c>
      <x:c r="W56" s="34" t="str"/>
    </x:row>
    <x:row r="57" ht="54" customHeight="1">
      <x:c r="A57" s="33" t="str">
        <x:v>US-056</x:v>
      </x:c>
      <x:c r="B57" s="33" t="str">
        <x:v>faturamento</x:v>
      </x:c>
      <x:c r="C57" s="33" t="str">
        <x:v>/faturamento · exportar lista</x:v>
      </x:c>
      <x:c r="D57" s="33" t="str">
        <x:v>/faturamento · exportar lista</x:v>
      </x:c>
      <x:c r="E57" s="33" t="str">
        <x:v>Usuário interno</x:v>
      </x:c>
      <x:c r="F57" s="34" t="str">
        <x:v>Como usuário interno, quero /faturamento · exportar lista para concluir o objetivo operacional descrito pela interface.</x:v>
      </x:c>
      <x:c r="G57" s="34" t="str">
        <x:v>Ao /faturamento · exportar lista, o sistema deve executar listInvoicesForExport → exportInvoicesWorkbook. Persistência esperada: Leituras paginadas de 1000; arquivo XLSX local. Resultado observável: Não altera cache. Em falha: Sem linhas gera aviso; leitura/geração propaga erro.</x:v>
      </x:c>
      <x:c r="H57" s="34" t="str">
        <x:v>Mesmos filtros; ao menos uma invoice</x:v>
      </x:c>
      <x:c r="I57" s="34" t="str">
        <x:v>Faturamento.handleExport</x:v>
      </x:c>
      <x:c r="J57" s="34" t="str">
        <x:v>listInvoicesForExport → exportInvoicesWorkbook</x:v>
      </x:c>
      <x:c r="K57" s="34" t="str">
        <x:v>Leituras paginadas de 1000; arquivo XLSX local</x:v>
      </x:c>
      <x:c r="L57" s="34" t="str">
        <x:v>Não altera cache</x:v>
      </x:c>
      <x:c r="M57" s="34" t="str">
        <x:v>Sem linhas gera aviso; leitura/geração propaga erro</x:v>
      </x:c>
      <x:c r="N57" s="34" t="str">
        <x:v>Código: src/pages/Faturamento.tsx, src/services/billing.ts, src/services/exports.ts · Teste: src/services/__tests__/billingHelpers.test.ts</x:v>
      </x:c>
      <x:c r="O57" s="34" t="str">
        <x:v>docs/modules/faturamento.md</x:v>
      </x:c>
      <x:c r="P57" s="34" t="str">
        <x:v>Automated</x:v>
      </x:c>
      <x:c r="Q57" s="34" t="str">
        <x:v>Passed</x:v>
      </x:c>
      <x:c r="R57" s="34" t="str"/>
      <x:c r="S57" s="34" t="str">
        <x:v>Not Needed</x:v>
      </x:c>
      <x:c r="T57" s="34" t="str">
        <x:v>Not Applicable</x:v>
      </x:c>
      <x:c r="U57" s="34" t="str">
        <x:v>Passed</x:v>
      </x:c>
      <x:c r="V57" s="34" t="str">
        <x:v>npm test -- --maxWorkers=4 — 598 passed, 9 skipped; focused evidence named in baseline</x:v>
      </x:c>
      <x:c r="W57" s="34" t="str"/>
    </x:row>
    <x:row r="58" ht="54" customHeight="1">
      <x:c r="A58" s="33" t="str">
        <x:v>US-057</x:v>
      </x:c>
      <x:c r="B58" s="33" t="str">
        <x:v>faturamento</x:v>
      </x:c>
      <x:c r="C58" s="33" t="str">
        <x:v>/faturamento · abrir invoice</x:v>
      </x:c>
      <x:c r="D58" s="33" t="str">
        <x:v>/faturamento · abrir invoice</x:v>
      </x:c>
      <x:c r="E58" s="33" t="str">
        <x:v>Usuário interno</x:v>
      </x:c>
      <x:c r="F58" s="34" t="str">
        <x:v>Como usuário interno, quero /faturamento · abrir invoice para concluir o objetivo operacional descrito pela interface.</x:v>
      </x:c>
      <x:c r="G58" s="34" t="str">
        <x:v>Ao /faturamento · abrir invoice, o sistema deve executar useInvoiceDetail → listInvoiceDetails. Persistência esperada: RPC list_invoice_details lê documento, links diretos, itens e pagamentos. Resultado observável: Query queryKeys.invoices.detail(id). Em falha: ID ausente desabilita query; erro mostra falha no modal.</x:v>
      </x:c>
      <x:c r="H58" s="34" t="str">
        <x:v>ID selecionado pela tabela ou query string</x:v>
      </x:c>
      <x:c r="I58" s="34" t="str">
        <x:v>InvoicesTable.onSelectInvoice</x:v>
      </x:c>
      <x:c r="J58" s="34" t="str">
        <x:v>useInvoiceDetail → listInvoiceDetails</x:v>
      </x:c>
      <x:c r="K58" s="34" t="str">
        <x:v>RPC list_invoice_details lê documento, links diretos, itens e pagamentos</x:v>
      </x:c>
      <x:c r="L58" s="34" t="str">
        <x:v>Query queryKeys.invoices.detail(id)</x:v>
      </x:c>
      <x:c r="M58" s="34" t="str">
        <x:v>ID ausente desabilita query; erro mostra falha no modal</x:v>
      </x:c>
      <x:c r="N58" s="34" t="str">
        <x:v>Código: src/components/billing/InvoicesTable.tsx, src/components/billing/InvoiceDetailModal.tsx, src/services/billing.ts · Teste: src/pages/__tests__/Faturamento.behavior.test.tsx</x:v>
      </x:c>
      <x:c r="O58" s="34" t="str">
        <x:v>docs/modules/faturamento.md</x:v>
      </x:c>
      <x:c r="P58" s="34" t="str">
        <x:v>Automated</x:v>
      </x:c>
      <x:c r="Q58" s="34" t="str">
        <x:v>Passed</x:v>
      </x:c>
      <x:c r="R58" s="34" t="str"/>
      <x:c r="S58" s="34" t="str">
        <x:v>Not Needed</x:v>
      </x:c>
      <x:c r="T58" s="34" t="str">
        <x:v>Not Applicable</x:v>
      </x:c>
      <x:c r="U58" s="34" t="str">
        <x:v>Passed</x:v>
      </x:c>
      <x:c r="V58" s="34" t="str">
        <x:v>Page behavior test: invoice query-string ID opens the matching detail modal.</x:v>
      </x:c>
      <x:c r="W58" s="34" t="str">
        <x:v>src/pages/__tests__/Faturamento.behavior.test.tsx</x:v>
      </x:c>
    </x:row>
    <x:row r="59" ht="54" customHeight="1">
      <x:c r="A59" s="33" t="str">
        <x:v>US-058</x:v>
      </x:c>
      <x:c r="B59" s="33" t="str">
        <x:v>faturamento</x:v>
      </x:c>
      <x:c r="C59" s="33" t="str">
        <x:v>Detalhe · carregar breakdown consolidado</x:v>
      </x:c>
      <x:c r="D59" s="33" t="str">
        <x:v>Detalhe · carregar breakdown consolidado</x:v>
      </x:c>
      <x:c r="E59" s="33" t="str">
        <x:v>Usuário interno</x:v>
      </x:c>
      <x:c r="F59" s="34" t="str">
        <x:v>Como usuário interno, quero detalhe · carregar breakdown consolidado para concluir o objetivo operacional descrito pela interface.</x:v>
      </x:c>
      <x:c r="G59" s="34" t="str">
        <x:v>Ao detalhe · carregar breakdown consolidado, o sistema deve executar Lê links/snapshots; RPC get_consolidated_invoice_item_breakdown; valida com Zod. Persistência esperada: invoice_receivable_links, voyages, leitura protegida de charge_calculations. Resultado observável: Reusa invoice-detail; usa linha agregada por B/L se breakdown não reconciliar com subtotal. Em falha: Erro/shape inválido do breakdown é best-effort e cai no agregado.</x:v>
      </x:c>
      <x:c r="H59" s="34" t="str">
        <x:v>Invoice sem itens diretos e com invoice_receivable_links</x:v>
      </x:c>
      <x:c r="I59" s="34" t="str">
        <x:v>listInvoiceDetails após RPC base</x:v>
      </x:c>
      <x:c r="J59" s="34" t="str">
        <x:v>Lê links/snapshots; RPC get_consolidated_invoice_item_breakdown; valida com Zod</x:v>
      </x:c>
      <x:c r="K59" s="34" t="str">
        <x:v>invoice_receivable_links, voyages, leitura protegida de charge_calculations</x:v>
      </x:c>
      <x:c r="L59" s="34" t="str">
        <x:v>Reusa invoice-detail; usa linha agregada por B/L se breakdown não reconciliar com subtotal</x:v>
      </x:c>
      <x:c r="M59" s="34" t="str">
        <x:v>Erro/shape inválido do breakdown é best-effort e cai no agregado</x:v>
      </x:c>
      <x:c r="N59" s="34" t="str">
        <x:v>Código: src/services/billing.ts, supabase/migrations/20260608174131_consolidated_invoice_item_breakdown.sql, supabase/migrations/20260609133000_restrict_consolidated_invoice_breakdown.sql</x:v>
      </x:c>
      <x:c r="O59" s="34" t="str">
        <x:v>docs/modules/faturamento.md</x:v>
      </x:c>
      <x:c r="P59" s="34" t="str">
        <x:v>Runtime</x:v>
      </x:c>
      <x:c r="Q59" s="34" t="str">
        <x:v>Blocked</x:v>
      </x:c>
      <x:c r="R59" s="34" t="str"/>
      <x:c r="S59" s="34" t="str">
        <x:v>Not Needed</x:v>
      </x:c>
      <x:c r="T59" s="34" t="str">
        <x:v>Not Applicable</x:v>
      </x:c>
      <x:c r="U59" s="34" t="str">
        <x:v>Passed</x:v>
      </x:c>
      <x:c r="V59" s="34" t="str">
        <x:v>SQL contract and billing-ledger tests validate consolidated receivable breakdown and normalized detail rows.</x:v>
      </x:c>
      <x:c r="W59" s="34" t="str">
        <x:v>consolidatedInvoiceBreakdownMigration.test.ts; billingLedger.test.ts</x:v>
      </x:c>
    </x:row>
    <x:row r="60" ht="54" customHeight="1">
      <x:c r="A60" s="33" t="str">
        <x:v>US-059</x:v>
      </x:c>
      <x:c r="B60" s="33" t="str">
        <x:v>faturamento</x:v>
      </x:c>
      <x:c r="C60" s="33" t="str">
        <x:v>/faturamento · marcar vencidas ao abrir</x:v>
      </x:c>
      <x:c r="D60" s="33" t="str">
        <x:v>/faturamento · marcar vencidas ao abrir</x:v>
      </x:c>
      <x:c r="E60" s="33" t="str">
        <x:v>Usuário interno</x:v>
      </x:c>
      <x:c r="F60" s="34" t="str">
        <x:v>Como usuário interno, quero /faturamento · marcar vencidas ao abrir para concluir o objetivo operacional descrito pela interface.</x:v>
      </x:c>
      <x:c r="G60" s="34" t="str">
        <x:v>Ao /faturamento · marcar vencidas ao abrir, o sistema deve executar detectOverdueInvoices. Persistência esperada: RPC detect_overdue_invoices altera invoices e cria alertas. Resultado observável: Invalida ['financial-alerts'], ['invoices'], ['op-count']. Em falha: Erro é enviado à telemetria best-effort sem rejeição não tratada.</x:v>
      </x:c>
      <x:c r="H60" s="34" t="str">
        <x:v>Montagem da página</x:v>
      </x:c>
      <x:c r="I60" s="34" t="str">
        <x:v>Faturamento.useEffect</x:v>
      </x:c>
      <x:c r="J60" s="34" t="str">
        <x:v>detectOverdueInvoices</x:v>
      </x:c>
      <x:c r="K60" s="34" t="str">
        <x:v>RPC detect_overdue_invoices altera invoices e cria alertas</x:v>
      </x:c>
      <x:c r="L60" s="34" t="str">
        <x:v>Invalida ['financial-alerts'], ['invoices'], ['op-count']</x:v>
      </x:c>
      <x:c r="M60" s="34" t="str">
        <x:v>Erro é enviado à telemetria best-effort sem rejeição não tratada</x:v>
      </x:c>
      <x:c r="N60" s="34" t="str">
        <x:v>Código: src/pages/Faturamento.tsx, src/services/alerts.ts, supabase/migrations/024_detect_overdue_invoices.sql · Teste: src/pages/__tests__/Faturamento.behavior.test.tsx</x:v>
      </x:c>
      <x:c r="O60" s="34" t="str">
        <x:v>docs/modules/faturamento.md</x:v>
      </x:c>
      <x:c r="P60" s="34" t="str">
        <x:v>Automated</x:v>
      </x:c>
      <x:c r="Q60" s="34" t="str">
        <x:v>Passed</x:v>
      </x:c>
      <x:c r="R60" s="34" t="str"/>
      <x:c r="S60" s="34" t="str">
        <x:v>Not Needed</x:v>
      </x:c>
      <x:c r="T60" s="34" t="str">
        <x:v>Not Applicable</x:v>
      </x:c>
      <x:c r="U60" s="34" t="str">
        <x:v>Passed</x:v>
      </x:c>
      <x:c r="V60" s="34" t="str">
        <x:v>Page behavior test: overdue detection failure is captured by best-effort telemetry without unhandled rejection.</x:v>
      </x:c>
      <x:c r="W60" s="34" t="str">
        <x:v>src/pages/__tests__/Faturamento.behavior.test.tsx</x:v>
      </x:c>
    </x:row>
    <x:row r="61" ht="54" customHeight="1">
      <x:c r="A61" s="33" t="str">
        <x:v>US-060</x:v>
      </x:c>
      <x:c r="B61" s="33" t="str">
        <x:v>faturamento</x:v>
      </x:c>
      <x:c r="C61" s="33" t="str">
        <x:v>Validação · recalcular selecionados</x:v>
      </x:c>
      <x:c r="D61" s="33" t="str">
        <x:v>Validação · recalcular selecionados</x:v>
      </x:c>
      <x:c r="E61" s="33" t="str">
        <x:v>Usuário interno</x:v>
      </x:c>
      <x:c r="F61" s="34" t="str">
        <x:v>Como usuário interno, quero validação · recalcular selecionados para concluir o objetivo operacional descrito pela interface.</x:v>
      </x:c>
      <x:c r="G61" s="34" t="str">
        <x:v>Ao validação · recalcular selecionados, o sistema deve executar Hooks de Taxas Locais; Granito usa runGraniteBatch canônico. Persistência esperada: Uma operação por B/L. Resultado observável: Invalida operações, invoices, B/Ls e resumo após o lote. Em falha: Resultado parcial agrega erros sem interromper os demais B/Ls.</x:v>
      </x:c>
      <x:c r="H61" s="34" t="str">
        <x:v>Seleção não vazia</x:v>
      </x:c>
      <x:c r="I61" s="34" t="str">
        <x:v>ValidacaoTab.runBatchOperation('recalculate')</x:v>
      </x:c>
      <x:c r="J61" s="34" t="str">
        <x:v>Hooks de Taxas Locais; Granito usa runGraniteBatch canônico</x:v>
      </x:c>
      <x:c r="K61" s="34" t="str">
        <x:v>Uma operação por B/L</x:v>
      </x:c>
      <x:c r="L61" s="34" t="str">
        <x:v>Invalida operações, invoices, B/Ls e resumo após o lote</x:v>
      </x:c>
      <x:c r="M61" s="34" t="str">
        <x:v>Resultado parcial agrega erros sem interromper os demais B/Ls</x:v>
      </x:c>
      <x:c r="N61" s="34" t="str">
        <x:v>Código: src/components/billing/ValidacaoTab.tsx, src/hooks/useLocalCharges.ts, src/services/graniteBillingWorkflow.ts · Teste: src/services/__tests__/localCharges.test.ts, src/services/__tests__/graniteBillingWorkflow.test.ts</x:v>
      </x:c>
      <x:c r="O61" s="34" t="str">
        <x:v>docs/modules/faturamento.md</x:v>
      </x:c>
      <x:c r="P61" s="34" t="str">
        <x:v>Automated</x:v>
      </x:c>
      <x:c r="Q61" s="34" t="str">
        <x:v>Passed</x:v>
      </x:c>
      <x:c r="R61" s="34" t="str"/>
      <x:c r="S61" s="34" t="str">
        <x:v>Not Needed</x:v>
      </x:c>
      <x:c r="T61" s="34" t="str">
        <x:v>Not Applicable</x:v>
      </x:c>
      <x:c r="U61" s="34" t="str">
        <x:v>Passed</x:v>
      </x:c>
      <x:c r="V61" s="34" t="str">
        <x:v>Batch service tests validate normalization, continued execution and per-B/L partial error aggregation.</x:v>
      </x:c>
      <x:c r="W61" s="34" t="str">
        <x:v>src/services/__tests__/localCharges.test.ts; graniteBillingWorkflow.test.ts</x:v>
      </x:c>
    </x:row>
    <x:row r="62" ht="54" customHeight="1">
      <x:c r="A62" s="33" t="str">
        <x:v>US-061</x:v>
      </x:c>
      <x:c r="B62" s="33" t="str">
        <x:v>faturamento</x:v>
      </x:c>
      <x:c r="C62" s="33" t="str">
        <x:v>Validação · aprovar revisão selecionada</x:v>
      </x:c>
      <x:c r="D62" s="33" t="str">
        <x:v>Validação · aprovar revisão selecionada</x:v>
      </x:c>
      <x:c r="E62" s="33" t="str">
        <x:v>Usuário interno</x:v>
      </x:c>
      <x:c r="F62" s="34" t="str">
        <x:v>Como usuário interno, quero validação · aprovar revisão selecionada para concluir o objetivo operacional descrito pela interface.</x:v>
      </x:c>
      <x:c r="G62" s="34" t="str">
        <x:v>Ao validação · aprovar revisão selecionada, o sistema deve executar useBatchMarkLocalChargesReviewed; runGraniteBatch rejeita revisão Granito como não suportada. Persistência esperada: RPC mark_bl_charges_reviewed por B/L local. Resultado observável: Invalida operações, pendências, B/Ls e detalhe-prefixo vazio. Em falha: Falhas são isoladas por B/L; Granito não reporta sucesso sem escrita.</x:v>
      </x:c>
      <x:c r="H62" s="34" t="str">
        <x:v>Seleção não vazia</x:v>
      </x:c>
      <x:c r="I62" s="34" t="str">
        <x:v>runBatchOperation('review')</x:v>
      </x:c>
      <x:c r="J62" s="34" t="str">
        <x:v>useBatchMarkLocalChargesReviewed; runGraniteBatch rejeita revisão Granito como não suportada</x:v>
      </x:c>
      <x:c r="K62" s="34" t="str">
        <x:v>RPC mark_bl_charges_reviewed por B/L local</x:v>
      </x:c>
      <x:c r="L62" s="34" t="str">
        <x:v>Invalida operações, pendências, B/Ls e detalhe-prefixo vazio</x:v>
      </x:c>
      <x:c r="M62" s="34" t="str">
        <x:v>Falhas são isoladas por B/L; Granito não reporta sucesso sem escrita</x:v>
      </x:c>
      <x:c r="N62" s="34" t="str">
        <x:v>Código: src/components/billing/ValidacaoTab.tsx, src/services/charges/chargeOperationsService.ts, src/services/graniteBillingWorkflow.ts · Teste: src/services/__tests__/localCharges.test.ts, src/services/__tests__/validacaoGraniteWorkflowContract.test.ts</x:v>
      </x:c>
      <x:c r="O62" s="34" t="str">
        <x:v>docs/modules/faturamento.md</x:v>
      </x:c>
      <x:c r="P62" s="34" t="str">
        <x:v>Automated</x:v>
      </x:c>
      <x:c r="Q62" s="34" t="str">
        <x:v>Passed</x:v>
      </x:c>
      <x:c r="R62" s="34" t="str"/>
      <x:c r="S62" s="34" t="str">
        <x:v>Not Needed</x:v>
      </x:c>
      <x:c r="T62" s="34" t="str">
        <x:v>Not Applicable</x:v>
      </x:c>
      <x:c r="U62" s="34" t="str">
        <x:v>Passed</x:v>
      </x:c>
      <x:c r="V62" s="34" t="str">
        <x:v>Batch tests validate isolated local failures and canonical Granite unsupported result without false success.</x:v>
      </x:c>
      <x:c r="W62" s="34" t="str">
        <x:v>localCharges.test.ts; validacaoGraniteWorkflowContract.test.ts</x:v>
      </x:c>
    </x:row>
    <x:row r="63" ht="54" customHeight="1">
      <x:c r="A63" s="33" t="str">
        <x:v>US-062</x:v>
      </x:c>
      <x:c r="B63" s="33" t="str">
        <x:v>faturamento</x:v>
      </x:c>
      <x:c r="C63" s="33" t="str">
        <x:v>Validação · marcar pronto selecionados</x:v>
      </x:c>
      <x:c r="D63" s="33" t="str">
        <x:v>Validação · marcar pronto selecionados</x:v>
      </x:c>
      <x:c r="E63" s="33" t="str">
        <x:v>Usuário interno</x:v>
      </x:c>
      <x:c r="F63" s="34" t="str">
        <x:v>Como usuário interno, quero validação · marcar pronto selecionados para concluir o objetivo operacional descrito pela interface.</x:v>
      </x:c>
      <x:c r="G63" s="34" t="str">
        <x:v>Ao validação · marcar pronto selecionados, o sistema deve executar Agrupa locais por cliente e usa markBlsReadyAndCreateInvoice. Persistência esperada: RPC mark_bls_ready_and_create_invoice promove e emite atomicamente por grupo. Resultado observável: Invalida operações, invoices, B/Ls e resumo. Em falha: Qualquer falha reverte promoção e emissão do grupo.</x:v>
      </x:c>
      <x:c r="H63" s="34" t="str">
        <x:v>Seleção; gates de cliente/taxas</x:v>
      </x:c>
      <x:c r="I63" s="34" t="str">
        <x:v>runBatchOperation('ready')</x:v>
      </x:c>
      <x:c r="J63" s="34" t="str">
        <x:v>Agrupa locais por cliente e usa markBlsReadyAndCreateInvoice</x:v>
      </x:c>
      <x:c r="K63" s="34" t="str">
        <x:v>RPC mark_bls_ready_and_create_invoice promove e emite atomicamente por grupo</x:v>
      </x:c>
      <x:c r="L63" s="34" t="str">
        <x:v>Invalida operações, invoices, B/Ls e resumo</x:v>
      </x:c>
      <x:c r="M63" s="34" t="str">
        <x:v>Qualquer falha reverte promoção e emissão do grupo</x:v>
      </x:c>
      <x:c r="N63" s="34" t="str">
        <x:v>Código: src/components/billing/ValidacaoTab.tsx, src/services/localBatchBillingWorkflow.ts, src/services/billing.ts, supabase/migrations/20260622133100_mark_bls_ready_and_create_invoice_atomic.sql</x:v>
      </x:c>
      <x:c r="O63" s="34" t="str">
        <x:v>docs/modules/faturamento.md</x:v>
      </x:c>
      <x:c r="P63" s="34" t="str">
        <x:v>Runtime</x:v>
      </x:c>
      <x:c r="Q63" s="34" t="str">
        <x:v>Blocked</x:v>
      </x:c>
      <x:c r="R63" s="34" t="str"/>
      <x:c r="S63" s="34" t="str">
        <x:v>Not Needed</x:v>
      </x:c>
      <x:c r="T63" s="34" t="str">
        <x:v>Not Applicable</x:v>
      </x:c>
      <x:c r="U63" s="34" t="str">
        <x:v>Passed</x:v>
      </x:c>
      <x:c r="V63" s="34" t="str">
        <x:v>Atomic batch workflow tests and disposable integration validate grouped promotion plus invoice creation.</x:v>
      </x:c>
      <x:c r="W63" s="34" t="str">
        <x:v>localBatchBillingWorkflow.test.ts; 9/9 Supabase integration run</x:v>
      </x:c>
    </x:row>
    <x:row r="64" ht="54" customHeight="1">
      <x:c r="A64" s="33" t="str">
        <x:v>US-063</x:v>
      </x:c>
      <x:c r="B64" s="33" t="str">
        <x:v>faturamento</x:v>
      </x:c>
      <x:c r="C64" s="33" t="str">
        <x:v>Validação · emitir invoice individual</x:v>
      </x:c>
      <x:c r="D64" s="33" t="str">
        <x:v>Validação · emitir invoice individual</x:v>
      </x:c>
      <x:c r="E64" s="33" t="str">
        <x:v>Usuário interno</x:v>
      </x:c>
      <x:c r="F64" s="34" t="str">
        <x:v>Como usuário interno, quero validação · emitir invoice individual para concluir o objetivo operacional descrito pela interface.</x:v>
      </x:c>
      <x:c r="G64" s="34" t="str">
        <x:v>Ao validação · emitir invoice individual, o sistema deve executar createInvoiceFromBls. Persistência esperada: RPC protegida create_invoice_from_bls_with_ledger (SECURITY DEFINER após validar usuário ativo/admin) → core revogado + link_invoice_to_ledger. Resultado observável: Invalida operações, invoices, B/Ls e resumo. Em falha: RPC revalida estado, cliente, vínculos e permissões; core não é chamável diretamente por authenticated.</x:v>
      </x:c>
      <x:c r="H64" s="34" t="str">
        <x:v>B/L ready_for_billing, não faturado e com cliente</x:v>
      </x:c>
      <x:c r="I64" s="34" t="str">
        <x:v>handleIssueSingleInvoice</x:v>
      </x:c>
      <x:c r="J64" s="34" t="str">
        <x:v>createInvoiceFromBls</x:v>
      </x:c>
      <x:c r="K64" s="34" t="str">
        <x:v>RPC protegida create_invoice_from_bls_with_ledger (SECURITY DEFINER após validar usuário ativo/admin) → core revogado + link_invoice_to_ledger</x:v>
      </x:c>
      <x:c r="L64" s="34" t="str">
        <x:v>Invalida operações, invoices, B/Ls e resumo</x:v>
      </x:c>
      <x:c r="M64" s="34" t="str">
        <x:v>RPC revalida estado, cliente, vínculos e permissões; core não é chamável diretamente por authenticated</x:v>
      </x:c>
      <x:c r="N64" s="34" t="str">
        <x:v>Código: src/components/billing/ValidacaoTab.tsx, src/services/billing.ts, supabase/migrations/20260612154000_create_invoice_from_bls_with_ledger.sql, supabase/migrations/20260622214500_secure_billing_core_wrappers.sql · Teste: src/services/__tests__/billing.test.ts, src/services/__tests__/billingCoreWrapperPrivilegesMigration.test.ts</x:v>
      </x:c>
      <x:c r="O64" s="34" t="str">
        <x:v>docs/modules/faturamento.md</x:v>
      </x:c>
      <x:c r="P64" s="34" t="str">
        <x:v>Automated</x:v>
      </x:c>
      <x:c r="Q64" s="34" t="str">
        <x:v>Failed</x:v>
      </x:c>
      <x:c r="R64" s="34" t="str">
        <x:v>DEF-040, DEF-043</x:v>
      </x:c>
      <x:c r="S64" s="34" t="str">
        <x:v>Fixed</x:v>
      </x:c>
      <x:c r="T64" s="34" t="str">
        <x:v>Passed</x:v>
      </x:c>
      <x:c r="U64" s="34" t="str">
        <x:v>Passed</x:v>
      </x:c>
      <x:c r="V64" s="34" t="str">
        <x:v>Post-fix focused tests passed: DEF-040, DEF-043</x:v>
      </x:c>
      <x:c r="W64" s="34" t="str">
        <x:v>Emissão em lote pode promover B/Ls sem criar a invoice correspondente | Wrapper de emissao nao consegue executar o core revogado | Admin and operator authorization paths both exercised.</x:v>
      </x:c>
    </x:row>
    <x:row r="65" ht="54" customHeight="1">
      <x:c r="A65" s="33" t="str">
        <x:v>US-064</x:v>
      </x:c>
      <x:c r="B65" s="33" t="str">
        <x:v>faturamento</x:v>
      </x:c>
      <x:c r="C65" s="33" t="str">
        <x:v>B/L/revisão · marcar pronto e emitir atomicamente</x:v>
      </x:c>
      <x:c r="D65" s="33" t="str">
        <x:v>B/L/revisão · marcar pronto e emitir atomicamente</x:v>
      </x:c>
      <x:c r="E65" s="33" t="str">
        <x:v>Usuário interno</x:v>
      </x:c>
      <x:c r="F65" s="34" t="str">
        <x:v>Como usuário interno, quero b/l/revisão · marcar pronto e emitir atomicamente para concluir o objetivo operacional descrito pela interface.</x:v>
      </x:c>
      <x:c r="G65" s="34" t="str">
        <x:v>Ao b/l/revisão · marcar pronto e emitir atomicamente, o sistema deve executar markBlReadyAndCreateInvoice. Persistência esperada: RPC mark_bl_ready_and_create_invoice chama promoção + criação ledger na mesma transação. Resultado observável: Chamadores invalidam seus domínios após sucesso. Em falha: Qualquer falha aborta promoção e emissão juntas.</x:v>
      </x:c>
      <x:c r="H65" s="34" t="str">
        <x:v>Um B/L com cliente e gates satisfeitos</x:v>
      </x:c>
      <x:c r="I65" s="34" t="str">
        <x:v>BlCobrancasTab, reviewBillingAutomation</x:v>
      </x:c>
      <x:c r="J65" s="34" t="str">
        <x:v>markBlReadyAndCreateInvoice</x:v>
      </x:c>
      <x:c r="K65" s="34" t="str">
        <x:v>RPC mark_bl_ready_and_create_invoice chama promoção + criação ledger na mesma transação</x:v>
      </x:c>
      <x:c r="L65" s="34" t="str">
        <x:v>Chamadores invalidam seus domínios após sucesso</x:v>
      </x:c>
      <x:c r="M65" s="34" t="str">
        <x:v>Qualquer falha aborta promoção e emissão juntas</x:v>
      </x:c>
      <x:c r="N65" s="34" t="str">
        <x:v>Código: src/components/bl/BlCobrancasTab.tsx, src/services/reviewBillingAutomation.ts, supabase/migrations/20260612160000_mark_ready_and_invoice_atomic.sql</x:v>
      </x:c>
      <x:c r="O65" s="34" t="str">
        <x:v>docs/modules/faturamento.md</x:v>
      </x:c>
      <x:c r="P65" s="34" t="str">
        <x:v>Runtime</x:v>
      </x:c>
      <x:c r="Q65" s="34" t="str">
        <x:v>Blocked</x:v>
      </x:c>
      <x:c r="R65" s="34" t="str"/>
      <x:c r="S65" s="34" t="str">
        <x:v>Not Needed</x:v>
      </x:c>
      <x:c r="T65" s="34" t="str">
        <x:v>Not Applicable</x:v>
      </x:c>
      <x:c r="U65" s="34" t="str">
        <x:v>Passed</x:v>
      </x:c>
      <x:c r="V65" s="34" t="str">
        <x:v>Migration contract and disposable integration validate atomic single-B/L promotion and emission.</x:v>
      </x:c>
      <x:c r="W65" s="34" t="str">
        <x:v>markBlsReadyAndCreateInvoiceMigration.test.ts; 9/9 Supabase integration run</x:v>
      </x:c>
    </x:row>
    <x:row r="66" ht="54" customHeight="1">
      <x:c r="A66" s="33" t="str">
        <x:v>US-065</x:v>
      </x:c>
      <x:c r="B66" s="33" t="str">
        <x:v>faturamento</x:v>
      </x:c>
      <x:c r="C66" s="33" t="str">
        <x:v>Modal consolidada · listar elegíveis</x:v>
      </x:c>
      <x:c r="D66" s="33" t="str">
        <x:v>Modal consolidada · listar elegíveis</x:v>
      </x:c>
      <x:c r="E66" s="33" t="str">
        <x:v>Usuário interno</x:v>
      </x:c>
      <x:c r="F66" s="34" t="str">
        <x:v>Como usuário interno, quero modal consolidada · listar elegíveis para concluir o objetivo operacional descrito pela interface.</x:v>
      </x:c>
      <x:c r="G66" s="34" t="str">
        <x:v>Ao modal consolidada · listar elegíveis, o sistema deve executar useConsolidatableReceivables → listConsolidatableReceivables. Persistência esperada: RPC list_consolidatable_receivables lê ledger e links. Resultado observável: Query queryKeys.billingLedger.consolidatableReceivables(filters). Em falha: Sem cliente não consulta; rows pagas/sem saldo/em consolidada aberta ficam desabilitadas.</x:v>
      </x:c>
      <x:c r="H66" s="34" t="str">
        <x:v>Cliente selecionado; filtros opcionais</x:v>
      </x:c>
      <x:c r="I66" s="34" t="str">
        <x:v>ConsolidatedInvoiceModal</x:v>
      </x:c>
      <x:c r="J66" s="34" t="str">
        <x:v>useConsolidatableReceivables → listConsolidatableReceivables</x:v>
      </x:c>
      <x:c r="K66" s="34" t="str">
        <x:v>RPC list_consolidatable_receivables lê ledger e links</x:v>
      </x:c>
      <x:c r="L66" s="34" t="str">
        <x:v>Query queryKeys.billingLedger.consolidatableReceivables(filters)</x:v>
      </x:c>
      <x:c r="M66" s="34" t="str">
        <x:v>Sem cliente não consulta; rows pagas/sem saldo/em consolidada aberta ficam desabilitadas</x:v>
      </x:c>
      <x:c r="N66" s="34" t="str">
        <x:v>Código: src/components/billing/ConsolidatedInvoiceModal.tsx, src/services/billingLedger.ts · Teste: src/components/billing/__tests__/ConsolidatedInvoiceSelection.test.ts</x:v>
      </x:c>
      <x:c r="O66" s="34" t="str">
        <x:v>docs/modules/faturamento.md</x:v>
      </x:c>
      <x:c r="P66" s="34" t="str">
        <x:v>Automated</x:v>
      </x:c>
      <x:c r="Q66" s="34" t="str">
        <x:v>Passed</x:v>
      </x:c>
      <x:c r="R66" s="34" t="str"/>
      <x:c r="S66" s="34" t="str">
        <x:v>Not Needed</x:v>
      </x:c>
      <x:c r="T66" s="34" t="str">
        <x:v>Not Applicable</x:v>
      </x:c>
      <x:c r="U66" s="34" t="str">
        <x:v>Passed</x:v>
      </x:c>
      <x:c r="V66" s="34" t="str">
        <x:v>npm test -- --maxWorkers=4 — 598 passed, 9 skipped; focused evidence named in baseline</x:v>
      </x:c>
      <x:c r="W66" s="34" t="str"/>
    </x:row>
    <x:row r="67" ht="54" customHeight="1">
      <x:c r="A67" s="33" t="str">
        <x:v>US-066</x:v>
      </x:c>
      <x:c r="B67" s="33" t="str">
        <x:v>faturamento</x:v>
      </x:c>
      <x:c r="C67" s="33" t="str">
        <x:v>Modal consolidada · emitir</x:v>
      </x:c>
      <x:c r="D67" s="33" t="str">
        <x:v>Modal consolidada · emitir</x:v>
      </x:c>
      <x:c r="E67" s="33" t="str">
        <x:v>Usuário interno</x:v>
      </x:c>
      <x:c r="F67" s="34" t="str">
        <x:v>Como usuário interno, quero modal consolidada · emitir para concluir o objetivo operacional descrito pela interface.</x:v>
      </x:c>
      <x:c r="G67" s="34" t="str">
        <x:v>Ao modal consolidada · emitir, o sistema deve executar useCreateConsolidatedInvoice → createConsolidatedInvoice. Persistência esperada: RPC create_local_consolidated_invoice cria invoice, links, evento e auditoria. Resultado observável: Invalidação ledger comum: ledger, invoices, B/Ls, clientes, detalhes, refunds, alertas e contagem. Em falha: RPC trava receivables e rejeita cliente divergente, saldo inválido ou consolidada aberta.</x:v>
      </x:c>
      <x:c r="H67" s="34" t="str">
        <x:v>Cliente e ao menos um receivable elegível selecionado</x:v>
      </x:c>
      <x:c r="I67" s="34" t="str">
        <x:v>ConsolidatedInvoiceModal.submit</x:v>
      </x:c>
      <x:c r="J67" s="34" t="str">
        <x:v>useCreateConsolidatedInvoice → createConsolidatedInvoice</x:v>
      </x:c>
      <x:c r="K67" s="34" t="str">
        <x:v>RPC create_local_consolidated_invoice cria invoice, links, evento e auditoria</x:v>
      </x:c>
      <x:c r="L67" s="34" t="str">
        <x:v>Invalidação ledger comum: ledger, invoices, B/Ls, clientes, detalhes, refunds, alertas e contagem</x:v>
      </x:c>
      <x:c r="M67" s="34" t="str">
        <x:v>RPC trava receivables e rejeita cliente divergente, saldo inválido ou consolidada aberta</x:v>
      </x:c>
      <x:c r="N67" s="34" t="str">
        <x:v>Código: src/services/billingLedger.ts, supabase/migrations/20260529110000_local_billing_ledger_phase2.sql · Teste: src/services/__tests__/billingLedger.test.ts</x:v>
      </x:c>
      <x:c r="O67" s="34" t="str">
        <x:v>docs/modules/faturamento.md</x:v>
      </x:c>
      <x:c r="P67" s="34" t="str">
        <x:v>Automated</x:v>
      </x:c>
      <x:c r="Q67" s="34" t="str">
        <x:v>Passed</x:v>
      </x:c>
      <x:c r="R67" s="34" t="str"/>
      <x:c r="S67" s="34" t="str">
        <x:v>Not Needed</x:v>
      </x:c>
      <x:c r="T67" s="34" t="str">
        <x:v>Not Applicable</x:v>
      </x:c>
      <x:c r="U67" s="34" t="str">
        <x:v>Passed</x:v>
      </x:c>
      <x:c r="V67" s="34" t="str">
        <x:v>npm test -- --maxWorkers=4 — 598 passed, 9 skipped; focused evidence named in baseline</x:v>
      </x:c>
      <x:c r="W67" s="34" t="str"/>
    </x:row>
    <x:row r="68" ht="54" customHeight="1">
      <x:c r="A68" s="33" t="str">
        <x:v>US-067</x:v>
      </x:c>
      <x:c r="B68" s="33" t="str">
        <x:v>faturamento</x:v>
      </x:c>
      <x:c r="C68" s="33" t="str">
        <x:v>Detalhe · registrar pagamento ledger</x:v>
      </x:c>
      <x:c r="D68" s="33" t="str">
        <x:v>Detalhe · registrar pagamento ledger</x:v>
      </x:c>
      <x:c r="E68" s="33" t="str">
        <x:v>Usuário interno</x:v>
      </x:c>
      <x:c r="F68" s="34" t="str">
        <x:v>Como usuário interno, quero detalhe · registrar pagamento ledger para concluir o objetivo operacional descrito pela interface.</x:v>
      </x:c>
      <x:c r="G68" s="34" t="str">
        <x:v>Ao detalhe · registrar pagamento ledger, o sistema deve executar useRegisterLedgerInvoicePayment → registerLedgerInvoicePayment. Persistência esperada: RPC register_ledger_invoice_payment → payments, ledger_settlements, receivables, invoice, B/Ls, eventos e possível refund. Resultado observável: Invalidação ledger comum. Em falha: Valor/data validados; RPC rejeita estado, ausência de links, TXID duplicado e regras de valor.</x:v>
      </x:c>
      <x:c r="H68" s="34" t="str">
        <x:v>isLedgerInvoicePayable: tipo individual/consolidated, status issued/partially_paid/overdue, saldo positivo</x:v>
      </x:c>
      <x:c r="I68" s="34" t="str">
        <x:v>InvoiceDetailModal.handleRegisterPayment</x:v>
      </x:c>
      <x:c r="J68" s="34" t="str">
        <x:v>useRegisterLedgerInvoicePayment → registerLedgerInvoicePayment</x:v>
      </x:c>
      <x:c r="K68" s="34" t="str">
        <x:v>RPC register_ledger_invoice_payment → payments, ledger_settlements, receivables, invoice, B/Ls, eventos e possível refund</x:v>
      </x:c>
      <x:c r="L68" s="34" t="str">
        <x:v>Invalidação ledger comum</x:v>
      </x:c>
      <x:c r="M68" s="34" t="str">
        <x:v>Valor/data validados; RPC rejeita estado, ausência de links, TXID duplicado e regras de valor</x:v>
      </x:c>
      <x:c r="N68" s="34" t="str">
        <x:v>Código: src/pages/faturamentoLedgerPayment.ts, src/components/billing/InvoiceDetailModal.tsx, src/services/billingLedger.ts · Teste: src/services/__tests__/billingLedger.test.ts</x:v>
      </x:c>
      <x:c r="O68" s="34" t="str">
        <x:v>docs/modules/faturamento.md</x:v>
      </x:c>
      <x:c r="P68" s="34" t="str">
        <x:v>Automated</x:v>
      </x:c>
      <x:c r="Q68" s="34" t="str">
        <x:v>Passed</x:v>
      </x:c>
      <x:c r="R68" s="34" t="str"/>
      <x:c r="S68" s="34" t="str">
        <x:v>Not Needed</x:v>
      </x:c>
      <x:c r="T68" s="34" t="str">
        <x:v>Not Applicable</x:v>
      </x:c>
      <x:c r="U68" s="34" t="str">
        <x:v>Passed</x:v>
      </x:c>
      <x:c r="V68" s="34" t="str">
        <x:v>npm test -- --maxWorkers=4 — 598 passed, 9 skipped; focused evidence named in baseline</x:v>
      </x:c>
      <x:c r="W68" s="34" t="str"/>
    </x:row>
    <x:row r="69" ht="54" customHeight="1">
      <x:c r="A69" s="33" t="str">
        <x:v>US-068</x:v>
      </x:c>
      <x:c r="B69" s="33" t="str">
        <x:v>faturamento</x:v>
      </x:c>
      <x:c r="C69" s="33" t="str">
        <x:v>Detalhe · registrar pagamento legado</x:v>
      </x:c>
      <x:c r="D69" s="33" t="str">
        <x:v>Detalhe · registrar pagamento legado</x:v>
      </x:c>
      <x:c r="E69" s="33" t="str">
        <x:v>Usuário interno</x:v>
      </x:c>
      <x:c r="F69" s="34" t="str">
        <x:v>Como usuário interno, quero detalhe · registrar pagamento legado para concluir o objetivo operacional descrito pela interface.</x:v>
      </x:c>
      <x:c r="G69" s="34" t="str">
        <x:v>Ao detalhe · registrar pagamento legado, o sistema deve executar useRegisterInvoicePayment → registerInvoicePayment. Persistência esperada: RPC register_invoice_payment → payments, agregados de invoices, bls.financial_status, auditoria. Resultado observável: Invalida invoices, detalhe, B/Ls e clientes. Em falha: Bloqueia valor não positivo, acima do saldo, invoice paga/cancelada.</x:v>
      </x:c>
      <x:c r="H69" s="34" t="str">
        <x:v>Invoice não classificada como ledger payable</x:v>
      </x:c>
      <x:c r="I69" s="34" t="str">
        <x:v>Mesmo handler, ramo else</x:v>
      </x:c>
      <x:c r="J69" s="34" t="str">
        <x:v>useRegisterInvoicePayment → registerInvoicePayment</x:v>
      </x:c>
      <x:c r="K69" s="34" t="str">
        <x:v>RPC register_invoice_payment → payments, agregados de invoices, bls.financial_status, auditoria</x:v>
      </x:c>
      <x:c r="L69" s="34" t="str">
        <x:v>Invalida invoices, detalhe, B/Ls e clientes</x:v>
      </x:c>
      <x:c r="M69" s="34" t="str">
        <x:v>Bloqueia valor não positivo, acima do saldo, invoice paga/cancelada</x:v>
      </x:c>
      <x:c r="N69" s="34" t="str">
        <x:v>Código: src/hooks/useBilling.ts, supabase/migrations/020_billing_hybrid_workflow.sql · Teste: src/services/__tests__/billing.test.ts</x:v>
      </x:c>
      <x:c r="O69" s="34" t="str">
        <x:v>docs/modules/faturamento.md</x:v>
      </x:c>
      <x:c r="P69" s="34" t="str">
        <x:v>Automated</x:v>
      </x:c>
      <x:c r="Q69" s="34" t="str">
        <x:v>Passed</x:v>
      </x:c>
      <x:c r="R69" s="34" t="str"/>
      <x:c r="S69" s="34" t="str">
        <x:v>Not Needed</x:v>
      </x:c>
      <x:c r="T69" s="34" t="str">
        <x:v>Not Applicable</x:v>
      </x:c>
      <x:c r="U69" s="34" t="str">
        <x:v>Passed</x:v>
      </x:c>
      <x:c r="V69" s="34" t="str">
        <x:v>npm test -- --maxWorkers=4 — 598 passed, 9 skipped; focused evidence named in baseline</x:v>
      </x:c>
      <x:c r="W69" s="34" t="str"/>
    </x:row>
    <x:row r="70" ht="54" customHeight="1">
      <x:c r="A70" s="33" t="str">
        <x:v>US-069</x:v>
      </x:c>
      <x:c r="B70" s="33" t="str">
        <x:v>faturamento</x:v>
      </x:c>
      <x:c r="C70" s="33" t="str">
        <x:v>Detalhe · adicionar other charge</x:v>
      </x:c>
      <x:c r="D70" s="33" t="str">
        <x:v>Detalhe · adicionar other charge</x:v>
      </x:c>
      <x:c r="E70" s="33" t="str">
        <x:v>Usuário interno</x:v>
      </x:c>
      <x:c r="F70" s="34" t="str">
        <x:v>Como usuário interno, quero detalhe · adicionar other charge para concluir o objetivo operacional descrito pela interface.</x:v>
      </x:c>
      <x:c r="G70" s="34" t="str">
        <x:v>Ao detalhe · adicionar other charge, o sistema deve executar Zod manualInvoiceChargeSchema → useAddManualInvoiceCharge. Persistência esperada: RPC add_manual_invoice_charge → invoice_items e totais. Resultado observável: Invalida invoices e detalhe. Em falha: Validação de descrição/quantidade/valor; RPC guarda estado e pagamentos.</x:v>
      </x:c>
      <x:c r="H70" s="34" t="str">
        <x:v>Invoice não consolidada, status draft/issued/overdue, sem pagamentos</x:v>
      </x:c>
      <x:c r="I70" s="34" t="str">
        <x:v>handleAddCharge</x:v>
      </x:c>
      <x:c r="J70" s="34" t="str">
        <x:v>Zod manualInvoiceChargeSchema → useAddManualInvoiceCharge</x:v>
      </x:c>
      <x:c r="K70" s="34" t="str">
        <x:v>RPC add_manual_invoice_charge → invoice_items e totais</x:v>
      </x:c>
      <x:c r="L70" s="34" t="str">
        <x:v>Invalida invoices e detalhe</x:v>
      </x:c>
      <x:c r="M70" s="34" t="str">
        <x:v>Validação de descrição/quantidade/valor; RPC guarda estado e pagamentos</x:v>
      </x:c>
      <x:c r="N70" s="34" t="str">
        <x:v>Código: src/components/billing/InvoiceDetailModal.tsx, src/services/financialValidation.ts, supabase/migrations/20260614120000_guard_manual_charges_and_clear_pix_on_reversal.sql</x:v>
      </x:c>
      <x:c r="O70" s="34" t="str">
        <x:v>docs/modules/faturamento.md</x:v>
      </x:c>
      <x:c r="P70" s="34" t="str">
        <x:v>Runtime</x:v>
      </x:c>
      <x:c r="Q70" s="34" t="str">
        <x:v>Blocked</x:v>
      </x:c>
      <x:c r="R70" s="34" t="str"/>
      <x:c r="S70" s="34" t="str">
        <x:v>Not Needed</x:v>
      </x:c>
      <x:c r="T70" s="34" t="str">
        <x:v>Not Applicable</x:v>
      </x:c>
      <x:c r="U70" s="34" t="str">
        <x:v>Passed</x:v>
      </x:c>
      <x:c r="V70" s="34" t="str">
        <x:v>Component, service and SQL-guard tests validate form payload, RPC call, invoice state and payment guards.</x:v>
      </x:c>
      <x:c r="W70" s="34" t="str">
        <x:v>ManualChargeFormFields.test.tsx; billing.test.ts; guardManualChargesMigration.test.ts</x:v>
      </x:c>
    </x:row>
    <x:row r="71" ht="54" customHeight="1">
      <x:c r="A71" s="33" t="str">
        <x:v>US-070</x:v>
      </x:c>
      <x:c r="B71" s="33" t="str">
        <x:v>faturamento</x:v>
      </x:c>
      <x:c r="C71" s="33" t="str">
        <x:v>Detalhe · excluir other charge</x:v>
      </x:c>
      <x:c r="D71" s="33" t="str">
        <x:v>Detalhe · excluir other charge</x:v>
      </x:c>
      <x:c r="E71" s="33" t="str">
        <x:v>Usuário interno</x:v>
      </x:c>
      <x:c r="F71" s="34" t="str">
        <x:v>Como usuário interno, quero detalhe · excluir other charge para concluir o objetivo operacional descrito pela interface.</x:v>
      </x:c>
      <x:c r="G71" s="34" t="str">
        <x:v>Ao detalhe · excluir other charge, o sistema deve executar useDeleteManualInvoiceCharge. Persistência esperada: RPC delete_manual_invoice_charge. Resultado observável: Invalida invoices e detalhe. Em falha: RPC rejeita item automático ou invoice protegida.</x:v>
      </x:c>
      <x:c r="H71" s="34" t="str">
        <x:v>Mesmas condições; item source = manual</x:v>
      </x:c>
      <x:c r="I71" s="34" t="str">
        <x:v>handleDeleteCharge</x:v>
      </x:c>
      <x:c r="J71" s="34" t="str">
        <x:v>useDeleteManualInvoiceCharge</x:v>
      </x:c>
      <x:c r="K71" s="34" t="str">
        <x:v>RPC delete_manual_invoice_charge</x:v>
      </x:c>
      <x:c r="L71" s="34" t="str">
        <x:v>Invalida invoices e detalhe</x:v>
      </x:c>
      <x:c r="M71" s="34" t="str">
        <x:v>RPC rejeita item automático ou invoice protegida</x:v>
      </x:c>
      <x:c r="N71" s="34" t="str">
        <x:v>Código: src/services/billing.ts, src/hooks/useBilling.ts · Teste de contrato SQL: src/services/__tests__/guardManualChargesMigration.test.ts</x:v>
      </x:c>
      <x:c r="O71" s="34" t="str">
        <x:v>docs/modules/faturamento.md</x:v>
      </x:c>
      <x:c r="P71" s="34" t="str">
        <x:v>Automated — SQL contract</x:v>
      </x:c>
      <x:c r="Q71" s="34" t="str">
        <x:v>Passed</x:v>
      </x:c>
      <x:c r="R71" s="34" t="str"/>
      <x:c r="S71" s="34" t="str">
        <x:v>Not Needed</x:v>
      </x:c>
      <x:c r="T71" s="34" t="str">
        <x:v>Not Applicable</x:v>
      </x:c>
      <x:c r="U71" s="34" t="str">
        <x:v>Passed</x:v>
      </x:c>
      <x:c r="V71" s="34" t="str">
        <x:v>npm test -- --maxWorkers=4 — 598 passed, 9 skipped; focused evidence named in baseline</x:v>
      </x:c>
      <x:c r="W71" s="34" t="str"/>
    </x:row>
    <x:row r="72" ht="54" customHeight="1">
      <x:c r="A72" s="33" t="str">
        <x:v>US-071</x:v>
      </x:c>
      <x:c r="B72" s="33" t="str">
        <x:v>faturamento</x:v>
      </x:c>
      <x:c r="C72" s="33" t="str">
        <x:v>Detalhe · cancelar invoice</x:v>
      </x:c>
      <x:c r="D72" s="33" t="str">
        <x:v>Detalhe · cancelar invoice</x:v>
      </x:c>
      <x:c r="E72" s="33" t="str">
        <x:v>Usuário interno</x:v>
      </x:c>
      <x:c r="F72" s="34" t="str">
        <x:v>Como usuário interno, quero detalhe · cancelar invoice para concluir o objetivo operacional descrito pela interface.</x:v>
      </x:c>
      <x:c r="G72" s="34" t="str">
        <x:v>Ao detalhe · cancelar invoice, o sistema deve executar useCancelInvoice → cancelInvoice. Persistência esperada: RPC protegida cancel_invoice (executa como SECURITY DEFINER após validar sessão ativa e papel admin) → invoice, batch, B/Ls e auditoria; implementação mais recente também preserva regras de Granito. Resultado observável: Invalida invoices, detalhe, billing-ready, B/Ls e clientes. Em falha: Pagamentos bloqueiam cancelamento; tabelas internas não são expostas diretamente; falha cria alerta/evento best-effort.</x:v>
      </x:c>
      <x:c r="H72" s="34" t="str">
        <x:v>Admin; invoice sem pagamentos</x:v>
      </x:c>
      <x:c r="I72" s="34" t="str">
        <x:v>handleCancelInvoice</x:v>
      </x:c>
      <x:c r="J72" s="34" t="str">
        <x:v>useCancelInvoice → cancelInvoice</x:v>
      </x:c>
      <x:c r="K72" s="34" t="str">
        <x:v>RPC protegida cancel_invoice (executa como SECURITY DEFINER após validar sessão ativa e papel admin) → invoice, batch, B/Ls e auditoria; implementação mais recente também preserva regras de Granito</x:v>
      </x:c>
      <x:c r="L72" s="34" t="str">
        <x:v>Invalida invoices, detalhe, billing-ready, B/Ls e clientes</x:v>
      </x:c>
      <x:c r="M72" s="34" t="str">
        <x:v>Pagamentos bloqueiam cancelamento; tabelas internas não são expostas diretamente; falha cria alerta/evento best-effort</x:v>
      </x:c>
      <x:c r="N72" s="34" t="str">
        <x:v>Código: src/components/billing/InvoiceDetailModal.tsx, src/services/billing.ts, supabase/migrations/20260528134131_fix_granite_invoice_cancel_reissue.sql, supabase/migrations/20260622215000_secure_cancel_invoice_wrapper.sql</x:v>
      </x:c>
      <x:c r="O72" s="34" t="str">
        <x:v>docs/modules/faturamento.md</x:v>
      </x:c>
      <x:c r="P72" s="34" t="str">
        <x:v>Runtime</x:v>
      </x:c>
      <x:c r="Q72" s="34" t="str">
        <x:v>Failed</x:v>
      </x:c>
      <x:c r="R72" s="34" t="str">
        <x:v>DEF-044</x:v>
      </x:c>
      <x:c r="S72" s="34" t="str">
        <x:v>Fixed</x:v>
      </x:c>
      <x:c r="T72" s="34" t="str">
        <x:v>Passed</x:v>
      </x:c>
      <x:c r="U72" s="34" t="str">
        <x:v>Passed</x:v>
      </x:c>
      <x:c r="V72" s="34" t="str">
        <x:v>Post-fix focused tests passed: DEF-044</x:v>
      </x:c>
      <x:c r="W72" s="34" t="str">
        <x:v>Cancelamento de invoice falha ao atualizar billing_batches | Operator cancellation was rejected with 42501.</x:v>
      </x:c>
    </x:row>
    <x:row r="73" ht="54" customHeight="1">
      <x:c r="A73" s="33" t="str">
        <x:v>US-072</x:v>
      </x:c>
      <x:c r="B73" s="33" t="str">
        <x:v>faturamento</x:v>
      </x:c>
      <x:c r="C73" s="33" t="str">
        <x:v>Detalhe · liquidar restituição</x:v>
      </x:c>
      <x:c r="D73" s="33" t="str">
        <x:v>Detalhe · liquidar restituição</x:v>
      </x:c>
      <x:c r="E73" s="33" t="str">
        <x:v>Usuário interno</x:v>
      </x:c>
      <x:c r="F73" s="34" t="str">
        <x:v>Como usuário interno, quero detalhe · liquidar restituição para concluir o objetivo operacional descrito pela interface.</x:v>
      </x:c>
      <x:c r="G73" s="34" t="str">
        <x:v>Ao detalhe · liquidar restituição, o sistema deve executar useSettleInvoiceRefund → settleInvoiceRefund. Persistência esperada: RPC settle_invoice_refund atualiza refund e auditoria. Resultado observável: Invalidação ledger comum. Em falha: Refund ausente ou não pendente é rejeitado.</x:v>
      </x:c>
      <x:c r="H73" s="34" t="str">
        <x:v>invoice_refunds.status = pending; admin</x:v>
      </x:c>
      <x:c r="I73" s="34" t="str">
        <x:v>handleSettleRefund</x:v>
      </x:c>
      <x:c r="J73" s="34" t="str">
        <x:v>useSettleInvoiceRefund → settleInvoiceRefund</x:v>
      </x:c>
      <x:c r="K73" s="34" t="str">
        <x:v>RPC settle_invoice_refund atualiza refund e auditoria</x:v>
      </x:c>
      <x:c r="L73" s="34" t="str">
        <x:v>Invalidação ledger comum</x:v>
      </x:c>
      <x:c r="M73" s="34" t="str">
        <x:v>Refund ausente ou não pendente é rejeitado</x:v>
      </x:c>
      <x:c r="N73" s="34" t="str">
        <x:v>Código: src/services/billingLedger.ts, supabase/migrations/20260614170000_settle_invoice_refunds.sql · Teste de contrato SQL: src/services/__tests__/settleInvoiceRefundsMigration.test.ts</x:v>
      </x:c>
      <x:c r="O73" s="34" t="str">
        <x:v>docs/modules/faturamento.md</x:v>
      </x:c>
      <x:c r="P73" s="34" t="str">
        <x:v>Automated — SQL contract</x:v>
      </x:c>
      <x:c r="Q73" s="34" t="str">
        <x:v>Passed</x:v>
      </x:c>
      <x:c r="R73" s="34" t="str"/>
      <x:c r="S73" s="34" t="str">
        <x:v>Not Needed</x:v>
      </x:c>
      <x:c r="T73" s="34" t="str">
        <x:v>Not Applicable</x:v>
      </x:c>
      <x:c r="U73" s="34" t="str">
        <x:v>Passed</x:v>
      </x:c>
      <x:c r="V73" s="34" t="str">
        <x:v>npm test -- --maxWorkers=4 — 598 passed, 9 skipped; focused evidence named in baseline</x:v>
      </x:c>
      <x:c r="W73" s="34" t="str"/>
    </x:row>
    <x:row r="74" ht="54" customHeight="1">
      <x:c r="A74" s="33" t="str">
        <x:v>US-073</x:v>
      </x:c>
      <x:c r="B74" s="33" t="str">
        <x:v>faturamento</x:v>
      </x:c>
      <x:c r="C74" s="33" t="str">
        <x:v>Detalhe · imprimir invoice</x:v>
      </x:c>
      <x:c r="D74" s="33" t="str">
        <x:v>Detalhe · imprimir invoice</x:v>
      </x:c>
      <x:c r="E74" s="33" t="str">
        <x:v>Usuário interno</x:v>
      </x:c>
      <x:c r="F74" s="34" t="str">
        <x:v>Como usuário interno, quero detalhe · imprimir invoice para concluir o objetivo operacional descrito pela interface.</x:v>
      </x:c>
      <x:c r="G74" s="34" t="str">
        <x:v>Ao detalhe · imprimir invoice, o sistema deve executar Abre InvoiceDocumentLocal; window.print(). Persistência esperada: Sem persistência; documento usa snapshot/detalhe e pix_payload. Resultado observável: Sem invalidação. Em falha: Sem detalhe, ação não abre; falha de impressão é do navegador.</x:v>
      </x:c>
      <x:c r="H74" s="34" t="str">
        <x:v>Detalhe carregado</x:v>
      </x:c>
      <x:c r="I74" s="34" t="str">
        <x:v>handlePrintInvoice</x:v>
      </x:c>
      <x:c r="J74" s="34" t="str">
        <x:v>Abre InvoiceDocumentLocal; window.print()</x:v>
      </x:c>
      <x:c r="K74" s="34" t="str">
        <x:v>Sem persistência; documento usa snapshot/detalhe e pix_payload</x:v>
      </x:c>
      <x:c r="L74" s="34" t="str">
        <x:v>Sem invalidação</x:v>
      </x:c>
      <x:c r="M74" s="34" t="str">
        <x:v>Sem detalhe, ação não abre; falha de impressão é do navegador</x:v>
      </x:c>
      <x:c r="N74" s="34" t="str">
        <x:v>Código: src/components/billing/InvoiceDetailModal.tsx, src/components/billing/InvoiceDocumentLocal.tsx, src/index.css · Teste: src/components/billing/__tests__/InvoiceDetailPrint.test.tsx</x:v>
      </x:c>
      <x:c r="O74" s="34" t="str">
        <x:v>docs/modules/faturamento.md</x:v>
      </x:c>
      <x:c r="P74" s="34" t="str">
        <x:v>Automated</x:v>
      </x:c>
      <x:c r="Q74" s="34" t="str">
        <x:v>Passed</x:v>
      </x:c>
      <x:c r="R74" s="34" t="str"/>
      <x:c r="S74" s="34" t="str">
        <x:v>Not Needed</x:v>
      </x:c>
      <x:c r="T74" s="34" t="str">
        <x:v>Not Applicable</x:v>
      </x:c>
      <x:c r="U74" s="34" t="str">
        <x:v>Passed</x:v>
      </x:c>
      <x:c r="V74" s="34" t="str">
        <x:v>Component behavior test: printable invoice is opened only after the print action.</x:v>
      </x:c>
      <x:c r="W74" s="34" t="str">
        <x:v>src/components/billing/__tests__/InvoiceDetailPrint.test.tsx</x:v>
      </x:c>
    </x:row>
    <x:row r="75" ht="54" customHeight="1">
      <x:c r="A75" s="33" t="str">
        <x:v>US-074</x:v>
      </x:c>
      <x:c r="B75" s="33" t="str">
        <x:v>faturamento</x:v>
      </x:c>
      <x:c r="C75" s="33" t="str">
        <x:v>Histórico de reconciliação · filtrar/exportar/abrir detalhe</x:v>
      </x:c>
      <x:c r="D75" s="33" t="str">
        <x:v>Histórico de reconciliação · filtrar/exportar/abrir detalhe</x:v>
      </x:c>
      <x:c r="E75" s="33" t="str">
        <x:v>Usuário interno</x:v>
      </x:c>
      <x:c r="F75" s="34" t="str">
        <x:v>Como usuário interno, quero histórico de reconciliação · filtrar/exportar/abrir detalhe para concluir o objetivo operacional descrito pela interface.</x:v>
      </x:c>
      <x:c r="G75" s="34" t="str">
        <x:v>Ao histórico de reconciliação · filtrar/exportar/abrir detalhe, o sistema deve executar listReconciliationHistory, exportReconciliationHistoryExcel. Persistência esperada: Leituras de invoices/payments/links e Demurrage; export XLSX local. Resultado observável: Query ['reconciliation-history', filters]. Em falha: Erros de leitura aparecem na tabela; export reaplica filtros.</x:v>
      </x:c>
      <x:c r="H75" s="34" t="str">
        <x:v>Superfície /reconciliacao</x:v>
      </x:c>
      <x:c r="I75" s="34" t="str">
        <x:v>ReconciliationHistoryTable</x:v>
      </x:c>
      <x:c r="J75" s="34" t="str">
        <x:v>listReconciliationHistory, exportReconciliationHistoryExcel</x:v>
      </x:c>
      <x:c r="K75" s="34" t="str">
        <x:v>Leituras de invoices/payments/links e Demurrage; export XLSX local</x:v>
      </x:c>
      <x:c r="L75" s="34" t="str">
        <x:v>Query ['reconciliation-history', filters]</x:v>
      </x:c>
      <x:c r="M75" s="34" t="str">
        <x:v>Erros de leitura aparecem na tabela; export reaplica filtros</x:v>
      </x:c>
      <x:c r="N75" s="34" t="str">
        <x:v>Código: src/components/billing/ReconciliationHistoryTable.tsx, src/services/reconciliacao.ts · Teste: src/components/billing/__tests__/ReconciliationHistoryTable.behavior.test.tsx</x:v>
      </x:c>
      <x:c r="O75" s="34" t="str">
        <x:v>docs/modules/faturamento.md</x:v>
      </x:c>
      <x:c r="P75" s="34" t="str">
        <x:v>Automated</x:v>
      </x:c>
      <x:c r="Q75" s="34" t="str">
        <x:v>Passed</x:v>
      </x:c>
      <x:c r="R75" s="34" t="str"/>
      <x:c r="S75" s="34" t="str">
        <x:v>Not Needed</x:v>
      </x:c>
      <x:c r="T75" s="34" t="str">
        <x:v>Not Applicable</x:v>
      </x:c>
      <x:c r="U75" s="34" t="str">
        <x:v>Passed</x:v>
      </x:c>
      <x:c r="V75" s="34" t="str">
        <x:v>Component tests validate current-filter export, detail routing and dedicated query error state.</x:v>
      </x:c>
      <x:c r="W75" s="34" t="str">
        <x:v>src/components/billing/__tests__/ReconciliationHistoryTable.behavior.test.tsx</x:v>
      </x:c>
    </x:row>
    <x:row r="76" ht="54" customHeight="1">
      <x:c r="A76" s="33" t="str">
        <x:v>US-075</x:v>
      </x:c>
      <x:c r="B76" s="33" t="str">
        <x:v>granito</x:v>
      </x:c>
      <x:c r="C76" s="33" t="str">
        <x:v>/granito · abrir import e selecionar viagem</x:v>
      </x:c>
      <x:c r="D76" s="33" t="str">
        <x:v>/granito · abrir import e selecionar viagem</x:v>
      </x:c>
      <x:c r="E76" s="33" t="str">
        <x:v>Usuário interno</x:v>
      </x:c>
      <x:c r="F76" s="34" t="str">
        <x:v>Como usuário interno, quero /granito · abrir import e selecionar viagem para concluir o objetivo operacional descrito pela interface.</x:v>
      </x:c>
      <x:c r="G76" s="34" t="str">
        <x:v>Ao /granito · abrir import e selecionar viagem, o sistema deve executar A seleção só prepara os argumentos do parser/importador. Persistência esperada: Leitura de viagens pelo hook. Resultado observável: Estado local; após sucesso invalida ['granite-bls'] e ['voyages']. Em falha: Sem viagem, arquivo ou usuário o botão permanece desabilitado.</x:v>
      </x:c>
      <x:c r="H76" s="34" t="str">
        <x:v>Sessão interna; viagem existente para confirmar</x:v>
      </x:c>
      <x:c r="I76" s="34" t="str">
        <x:v>Granite; estado uploadOpen, voyageId; useVoyageOptions</x:v>
      </x:c>
      <x:c r="J76" s="34" t="str">
        <x:v>A seleção só prepara os argumentos do parser/importador</x:v>
      </x:c>
      <x:c r="K76" s="34" t="str">
        <x:v>Leitura de viagens pelo hook</x:v>
      </x:c>
      <x:c r="L76" s="34" t="str">
        <x:v>Estado local; após sucesso invalida ['granite-bls'] e ['voyages']</x:v>
      </x:c>
      <x:c r="M76" s="34" t="str">
        <x:v>Sem viagem, arquivo ou usuário o botão permanece desabilitado</x:v>
      </x:c>
      <x:c r="N76" s="34" t="str">
        <x:v>Código: Granite.tsx, useBls.ts</x:v>
      </x:c>
      <x:c r="O76" s="34" t="str">
        <x:v>docs/modules/granito.md</x:v>
      </x:c>
      <x:c r="P76" s="34" t="str">
        <x:v>Runtime</x:v>
      </x:c>
      <x:c r="Q76" s="34" t="str">
        <x:v>Blocked</x:v>
      </x:c>
      <x:c r="R76" s="34" t="str"/>
      <x:c r="S76" s="34" t="str">
        <x:v>Not Needed</x:v>
      </x:c>
      <x:c r="T76" s="34" t="str">
        <x:v>Not Applicable</x:v>
      </x:c>
      <x:c r="U76" s="34" t="str">
        <x:v>Passed</x:v>
      </x:c>
      <x:c r="V76" s="34" t="str">
        <x:v>Granite page test: the import button opens the COSCO modal with the destination-voyage selector.</x:v>
      </x:c>
      <x:c r="W76" s="34" t="str">
        <x:v>src/pages/__tests__/Granite.behavior.test.tsx</x:v>
      </x:c>
    </x:row>
    <x:row r="77" ht="54" customHeight="1">
      <x:c r="A77" s="33" t="str">
        <x:v>US-076</x:v>
      </x:c>
      <x:c r="B77" s="33" t="str">
        <x:v>granito</x:v>
      </x:c>
      <x:c r="C77" s="33" t="str">
        <x:v>/viagens/:voyageId · importar Granito</x:v>
      </x:c>
      <x:c r="D77" s="33" t="str">
        <x:v>/viagens/:voyageId · importar Granito</x:v>
      </x:c>
      <x:c r="E77" s="33" t="str">
        <x:v>Usuário interno</x:v>
      </x:c>
      <x:c r="F77" s="34" t="str">
        <x:v>Como usuário interno, quero /viagens/:voyageid · importar granito para concluir o objetivo operacional descrito pela interface.</x:v>
      </x:c>
      <x:c r="G77" s="34" t="str">
        <x:v>Ao /viagens/:voyageid · importar granito, o sistema deve executar parseGraniteManifestFile → importGraniteManifest. Persistência esperada: granite_manifests, granite_bls. Resultado observável: Invalida ['voyages'] e ['granite-manifests']. Em falha: Erro de parse por arquivo; falha de persistência interrompe o lote.</x:v>
      </x:c>
      <x:c r="H77" s="34" t="str">
        <x:v>Viagem e usuário já definidos; arquivo com B/Ls válidos</x:v>
      </x:c>
      <x:c r="I77" s="34" t="str">
        <x:v>VoyageImportActions; FileImportModal</x:v>
      </x:c>
      <x:c r="J77" s="34" t="str">
        <x:v>parseGraniteManifestFile → importGraniteManifest</x:v>
      </x:c>
      <x:c r="K77" s="34" t="str">
        <x:v>granite_manifests, granite_bls</x:v>
      </x:c>
      <x:c r="L77" s="34" t="str">
        <x:v>Invalida ['voyages'] e ['granite-manifests']</x:v>
      </x:c>
      <x:c r="M77" s="34" t="str">
        <x:v>Erro de parse por arquivo; falha de persistência interrompe o lote</x:v>
      </x:c>
      <x:c r="N77" s="34" t="str">
        <x:v>Código: VoyageImportActions.tsx, FileImportModal.tsx</x:v>
      </x:c>
      <x:c r="O77" s="34" t="str">
        <x:v>docs/modules/granito.md</x:v>
      </x:c>
      <x:c r="P77" s="34" t="str">
        <x:v>Runtime</x:v>
      </x:c>
      <x:c r="Q77" s="34" t="str">
        <x:v>Failed</x:v>
      </x:c>
      <x:c r="R77" s="34" t="str">
        <x:v>DEF-037</x:v>
      </x:c>
      <x:c r="S77" s="34" t="str">
        <x:v>Fixed</x:v>
      </x:c>
      <x:c r="T77" s="34" t="str">
        <x:v>Passed</x:v>
      </x:c>
      <x:c r="U77" s="34" t="str">
        <x:v>Passed</x:v>
      </x:c>
      <x:c r="V77" s="34" t="str">
        <x:v>Post-fix focused tests passed: DEF-037</x:v>
      </x:c>
      <x:c r="W77" s="34" t="str">
        <x:v>Importação Granito pode deixar manifesto incompleto | Validated against PostgreSQL 17 disposable fixtures.</x:v>
      </x:c>
    </x:row>
    <x:row r="78" ht="54" customHeight="1">
      <x:c r="A78" s="33" t="str">
        <x:v>US-077</x:v>
      </x:c>
      <x:c r="B78" s="33" t="str">
        <x:v>granito</x:v>
      </x:c>
      <x:c r="C78" s="33" t="str">
        <x:v>Parsear planilha COSCO</x:v>
      </x:c>
      <x:c r="D78" s="33" t="str">
        <x:v>Parsear planilha COSCO</x:v>
      </x:c>
      <x:c r="E78" s="33" t="str">
        <x:v>Usuário interno</x:v>
      </x:c>
      <x:c r="F78" s="34" t="str">
        <x:v>Como usuário interno, quero parsear planilha cosco para concluir o objetivo operacional descrito pela interface.</x:v>
      </x:c>
      <x:c r="G78" s="34" t="str">
        <x:v>Ao parsear planilha cosco, o sistema deve executar assertUploadSize → readFirstSheetRows → createHeaderMapper; exige B/L único e real_weight_kg &gt; 0. Persistência esperada: Carrega clientes para reconciliação, sem escrita. Resultado observável: Retorna ParsedGraniteManifest com bls e rowErrors. Em falha: B/L ausente/duplicado e peso ausente/zero viram erro de linha; planilha vazia lança erro.</x:v>
      </x:c>
      <x:c r="H78" s="34" t="str">
        <x:v>Arquivo dentro do limite; primeira aba não vazia</x:v>
      </x:c>
      <x:c r="I78" s="34" t="str">
        <x:v>handleFile ou parser do modal genérico</x:v>
      </x:c>
      <x:c r="J78" s="34" t="str">
        <x:v>assertUploadSize → readFirstSheetRows → createHeaderMapper; exige B/L único e real_weight_kg &gt; 0</x:v>
      </x:c>
      <x:c r="K78" s="34" t="str">
        <x:v>Carrega clientes para reconciliação, sem escrita</x:v>
      </x:c>
      <x:c r="L78" s="34" t="str">
        <x:v>Retorna ParsedGraniteManifest com bls e rowErrors</x:v>
      </x:c>
      <x:c r="M78" s="34" t="str">
        <x:v>B/L ausente/duplicado e peso ausente/zero viram erro de linha; planilha vazia lança erro</x:v>
      </x:c>
      <x:c r="N78" s="34" t="str">
        <x:v>Código: graniteImport.ts, importCore.ts</x:v>
      </x:c>
      <x:c r="O78" s="34" t="str">
        <x:v>docs/modules/granito.md</x:v>
      </x:c>
      <x:c r="P78" s="34" t="str">
        <x:v>Runtime</x:v>
      </x:c>
      <x:c r="Q78" s="34" t="str">
        <x:v>Blocked</x:v>
      </x:c>
      <x:c r="R78" s="34" t="str"/>
      <x:c r="S78" s="34" t="str">
        <x:v>Not Needed</x:v>
      </x:c>
      <x:c r="T78" s="34" t="str">
        <x:v>Not Applicable</x:v>
      </x:c>
      <x:c r="U78" s="34" t="str">
        <x:v>Passed</x:v>
      </x:c>
      <x:c r="V78" s="34" t="str">
        <x:v>parseGraniteManifestFile tests map COSCO columns, reconcile CNPJ and flag rows with missing/zero Real Weight.</x:v>
      </x:c>
      <x:c r="W78" s="34" t="str">
        <x:v>src/services/__tests__/graniteParse.test.ts</x:v>
      </x:c>
    </x:row>
    <x:row r="79" ht="54" customHeight="1">
      <x:c r="A79" s="33" t="str">
        <x:v>US-078</x:v>
      </x:c>
      <x:c r="B79" s="33" t="str">
        <x:v>granito</x:v>
      </x:c>
      <x:c r="C79" s="33" t="str">
        <x:v>Preview · reconciliar cliente/CNPJ</x:v>
      </x:c>
      <x:c r="D79" s="33" t="str">
        <x:v>Preview · reconciliar cliente/CNPJ</x:v>
      </x:c>
      <x:c r="E79" s="33" t="str">
        <x:v>Usuário interno</x:v>
      </x:c>
      <x:c r="F79" s="34" t="str">
        <x:v>Como usuário interno, quero preview · reconciliar cliente/cnpj para concluir o objetivo operacional descrito pela interface.</x:v>
      </x:c>
      <x:c r="G79" s="34" t="str">
        <x:v>Ao preview · reconciliar cliente/cnpj, o sistema deve executar loadCustomerMaps + findMatchedCustomer; normaliza documento com onlyDigits. Persistência esperada: SELECT na base de clientes. Resultado observável: Atualiza apenas o manifesto em memória para matched. Em falha: Input inline aparece apenas para missing_cnpj; CNPJ curto não dispara busca; not_found permanece pendente.</x:v>
      </x:c>
      <x:c r="H79" s="34" t="str">
        <x:v>Manifesto parseado; CNPJ do shipper opcional</x:v>
      </x:c>
      <x:c r="I79" s="34" t="str">
        <x:v>handleCnpjOverride; tabela de preview</x:v>
      </x:c>
      <x:c r="J79" s="34" t="str">
        <x:v>loadCustomerMaps + findMatchedCustomer; normaliza documento com onlyDigits</x:v>
      </x:c>
      <x:c r="K79" s="34" t="str">
        <x:v>SELECT na base de clientes</x:v>
      </x:c>
      <x:c r="L79" s="34" t="str">
        <x:v>Atualiza apenas o manifesto em memória para matched</x:v>
      </x:c>
      <x:c r="M79" s="34" t="str">
        <x:v>Input inline aparece apenas para missing_cnpj; CNPJ curto não dispara busca; not_found permanece pendente</x:v>
      </x:c>
      <x:c r="N79" s="34" t="str">
        <x:v>Código: Granite.tsx, customerReconciliation.ts</x:v>
      </x:c>
      <x:c r="O79" s="34" t="str">
        <x:v>docs/modules/granito.md</x:v>
      </x:c>
      <x:c r="P79" s="34" t="str">
        <x:v>Runtime</x:v>
      </x:c>
      <x:c r="Q79" s="34" t="str">
        <x:v>Blocked</x:v>
      </x:c>
      <x:c r="R79" s="34" t="str"/>
      <x:c r="S79" s="34" t="str">
        <x:v>Not Needed</x:v>
      </x:c>
      <x:c r="T79" s="34" t="str">
        <x:v>Not Applicable</x:v>
      </x:c>
      <x:c r="U79" s="34" t="str">
        <x:v>Passed</x:v>
      </x:c>
      <x:c r="V79" s="34" t="str">
        <x:v>Granite preview test: resolving the CNPJ inline reconciles the pending B/L and clears the pending alert.</x:v>
      </x:c>
      <x:c r="W79" s="34" t="str">
        <x:v>src/pages/__tests__/Granite.behavior.test.tsx</x:v>
      </x:c>
    </x:row>
    <x:row r="80" ht="54" customHeight="1">
      <x:c r="A80" s="33" t="str">
        <x:v>US-079</x:v>
      </x:c>
      <x:c r="B80" s="33" t="str">
        <x:v>granito</x:v>
      </x:c>
      <x:c r="C80" s="33" t="str">
        <x:v>Preview · aceitar ou rejeitar pendentes</x:v>
      </x:c>
      <x:c r="D80" s="33" t="str">
        <x:v>Preview · aceitar ou rejeitar pendentes</x:v>
      </x:c>
      <x:c r="E80" s="33" t="str">
        <x:v>Usuário interno</x:v>
      </x:c>
      <x:c r="F80" s="34" t="str">
        <x:v>Como usuário interno, quero preview · aceitar ou rejeitar pendentes para concluir o objetivo operacional descrito pela interface.</x:v>
      </x:c>
      <x:c r="G80" s="34" t="str">
        <x:v>Ao preview · aceitar ou rejeitar pendentes, o sistema deve executar importGraniteManifest filtra `allowPending. Resultado observável: clientId !== null`. Em falha: INSERT/UPSERT em granite_bls.</x:v>
      </x:c>
      <x:c r="H80" s="34" t="str">
        <x:v>B/L sem cliente resolvido</x:v>
      </x:c>
      <x:c r="I80" s="34" t="str">
        <x:v>Confirmação dos modais; argumento allowPending do service</x:v>
      </x:c>
      <x:c r="J80" s="34" t="str">
        <x:v>importGraniteManifest filtra `allowPending</x:v>
      </x:c>
      <x:c r="K80" s="34" t="str"/>
      <x:c r="L80" s="34" t="str">
        <x:v>clientId !== null`</x:v>
      </x:c>
      <x:c r="M80" s="34" t="str">
        <x:v>INSERT/UPSERT em granite_bls</x:v>
      </x:c>
      <x:c r="N80" s="34" t="str">
        <x:v>Com true, mantém B/L sem client_id; com false, exclui a linha da persistência</x:v>
      </x:c>
      <x:c r="O80" s="34" t="str">
        <x:v>docs/modules/granito.md</x:v>
      </x:c>
      <x:c r="P80" s="34" t="str">
        <x:v>Runtime</x:v>
      </x:c>
      <x:c r="Q80" s="34" t="str">
        <x:v>Blocked</x:v>
      </x:c>
      <x:c r="R80" s="34" t="str"/>
      <x:c r="S80" s="34" t="str">
        <x:v>Not Needed</x:v>
      </x:c>
      <x:c r="T80" s="34" t="str">
        <x:v>Not Applicable</x:v>
      </x:c>
      <x:c r="U80" s="34" t="str">
        <x:v>Passed</x:v>
      </x:c>
      <x:c r="V80" s="34" t="str">
        <x:v>Granite preview test: the preview alerts about pending B/Ls without a resolved customer before confirming.</x:v>
      </x:c>
      <x:c r="W80" s="34" t="str">
        <x:v>src/pages/__tests__/Granite.behavior.test.tsx</x:v>
      </x:c>
    </x:row>
    <x:row r="81" ht="54" customHeight="1">
      <x:c r="A81" s="33" t="str">
        <x:v>US-080</x:v>
      </x:c>
      <x:c r="B81" s="33" t="str">
        <x:v>granito</x:v>
      </x:c>
      <x:c r="C81" s="33" t="str">
        <x:v>Confirmar importação</x:v>
      </x:c>
      <x:c r="D81" s="33" t="str">
        <x:v>Confirmar importação</x:v>
      </x:c>
      <x:c r="E81" s="33" t="str">
        <x:v>Usuário interno</x:v>
      </x:c>
      <x:c r="F81" s="34" t="str">
        <x:v>Como usuário interno, quero confirmar importação para concluir o objetivo operacional descrito pela interface.</x:v>
      </x:c>
      <x:c r="G81" s="34" t="str">
        <x:v>Ao confirmar importação, o sistema deve executar importGraniteManifest valida a viagem, soma peso e monta linhas. Persistência esperada: INSERT em granite_manifests; UPSERT em granite_bls por (manifest_id, bl_number) com charge_status='not_calculated'. Resultado observável: Fecha/reset modal; invalida listas relacionadas; informa pendingCount. Em falha: Viagem ausente ou erro em qualquer write lança; cabeçalho e B/Ls não estão numa RPC atômica.</x:v>
      </x:c>
      <x:c r="H81" s="34" t="str">
        <x:v>Viagem existente; usuário; ao menos um B/L válido</x:v>
      </x:c>
      <x:c r="I81" s="34" t="str">
        <x:v>Granite.handleImport ou importer de VoyageImportActions</x:v>
      </x:c>
      <x:c r="J81" s="34" t="str">
        <x:v>importGraniteManifest valida a viagem, soma peso e monta linhas</x:v>
      </x:c>
      <x:c r="K81" s="34" t="str">
        <x:v>INSERT em granite_manifests; UPSERT em granite_bls por (manifest_id, bl_number) com charge_status='not_calculated'</x:v>
      </x:c>
      <x:c r="L81" s="34" t="str">
        <x:v>Fecha/reset modal; invalida listas relacionadas; informa pendingCount</x:v>
      </x:c>
      <x:c r="M81" s="34" t="str">
        <x:v>Viagem ausente ou erro em qualquer write lança; cabeçalho e B/Ls não estão numa RPC atômica</x:v>
      </x:c>
      <x:c r="N81" s="34" t="str">
        <x:v>Código: graniteImport.ts, 034_granite_module.sql</x:v>
      </x:c>
      <x:c r="O81" s="34" t="str">
        <x:v>docs/modules/granito.md</x:v>
      </x:c>
      <x:c r="P81" s="34" t="str">
        <x:v>Runtime</x:v>
      </x:c>
      <x:c r="Q81" s="34" t="str">
        <x:v>Blocked</x:v>
      </x:c>
      <x:c r="R81" s="34" t="str"/>
      <x:c r="S81" s="34" t="str">
        <x:v>Not Needed</x:v>
      </x:c>
      <x:c r="T81" s="34" t="str">
        <x:v>Not Applicable</x:v>
      </x:c>
      <x:c r="U81" s="34" t="str">
        <x:v>Passed</x:v>
      </x:c>
      <x:c r="V81" s="34" t="str">
        <x:v>graniteImportAtomic tests persist the manifest header and B/L rows through one transactional RPC.</x:v>
      </x:c>
      <x:c r="W81" s="34" t="str">
        <x:v>src/services/__tests__/graniteImportAtomic.test.ts</x:v>
      </x:c>
    </x:row>
    <x:row r="82" ht="54" customHeight="1">
      <x:c r="A82" s="33" t="str">
        <x:v>US-081</x:v>
      </x:c>
      <x:c r="B82" s="33" t="str">
        <x:v>granito</x:v>
      </x:c>
      <x:c r="C82" s="33" t="str">
        <x:v>/granito · filtrar/listar/paginar</x:v>
      </x:c>
      <x:c r="D82" s="33" t="str">
        <x:v>/granito · filtrar/listar/paginar</x:v>
      </x:c>
      <x:c r="E82" s="33" t="str">
        <x:v>Usuário interno</x:v>
      </x:c>
      <x:c r="F82" s="34" t="str">
        <x:v>Como usuário interno, quero /granito · filtrar/listar/paginar para concluir o objetivo operacional descrito pela interface.</x:v>
      </x:c>
      <x:c r="G82" s="34" t="str">
        <x:v>Ao /granito · filtrar/listar/paginar, o sistema deve executar listGraniteBls monta filtros e, para viagem, resolve manifest IDs antes. Persistência esperada: SELECT em granite_bls, granite_manifests, voyages, vessels, customers. Resultado observável: Paginação local por range; troca de filtro volta à página 1. Em falha: Erro mostra InlineError; viagem sem manifest retorna lista vazia.</x:v>
      </x:c>
      <x:c r="H82" s="34" t="str">
        <x:v>Sessão interna</x:v>
      </x:c>
      <x:c r="I82" s="34" t="str">
        <x:v>Query ['granite-bls', filters]</x:v>
      </x:c>
      <x:c r="J82" s="34" t="str">
        <x:v>listGraniteBls monta filtros e, para viagem, resolve manifest IDs antes</x:v>
      </x:c>
      <x:c r="K82" s="34" t="str">
        <x:v>SELECT em granite_bls, granite_manifests, voyages, vessels, customers</x:v>
      </x:c>
      <x:c r="L82" s="34" t="str">
        <x:v>Paginação local por range; troca de filtro volta à página 1</x:v>
      </x:c>
      <x:c r="M82" s="34" t="str">
        <x:v>Erro mostra InlineError; viagem sem manifest retorna lista vazia</x:v>
      </x:c>
      <x:c r="N82" s="34" t="str">
        <x:v>Código: Granite.tsx, graniteCharges.ts</x:v>
      </x:c>
      <x:c r="O82" s="34" t="str">
        <x:v>docs/modules/granito.md</x:v>
      </x:c>
      <x:c r="P82" s="34" t="str">
        <x:v>Runtime</x:v>
      </x:c>
      <x:c r="Q82" s="34" t="str">
        <x:v>Blocked</x:v>
      </x:c>
      <x:c r="R82" s="34" t="str"/>
      <x:c r="S82" s="34" t="str">
        <x:v>Not Needed</x:v>
      </x:c>
      <x:c r="T82" s="34" t="str">
        <x:v>Not Applicable</x:v>
      </x:c>
      <x:c r="U82" s="34" t="str">
        <x:v>Passed</x:v>
      </x:c>
      <x:c r="V82" s="34" t="str">
        <x:v>listGraniteBls test returns rows + count and applies the page range.</x:v>
      </x:c>
      <x:c r="W82" s="34" t="str">
        <x:v>src/services/__tests__/graniteCharges.test.ts</x:v>
      </x:c>
    </x:row>
    <x:row r="83" ht="54" customHeight="1">
      <x:c r="A83" s="33" t="str">
        <x:v>US-082</x:v>
      </x:c>
      <x:c r="B83" s="33" t="str">
        <x:v>granito</x:v>
      </x:c>
      <x:c r="C83" s="33" t="str">
        <x:v>/granito · calcular taxas</x:v>
      </x:c>
      <x:c r="D83" s="33" t="str">
        <x:v>/granito · calcular taxas</x:v>
      </x:c>
      <x:c r="E83" s="33" t="str">
        <x:v>Usuário interno</x:v>
      </x:c>
      <x:c r="F83" s="34" t="str">
        <x:v>Como usuário interno, quero /granito · calcular taxas para concluir o objetivo operacional descrito pela interface.</x:v>
      </x:c>
      <x:c r="G83" s="34" t="str">
        <x:v>Ao /granito · calcular taxas, o sistema deve executar calculateGraniteBlCharges apaga snapshot anterior, filtra vigência e calcula quantidade/subtotal. Persistência esperada: DELETE/INSERT em granite_bl_charges; UPDATE de granite_bls.charge_status. Resultado observável: Invalida ['granite-bls'] e ['voyages']; sem cliente abre modal de linhas. Em falha: Sem rates grava calculated e retorna vazio; falha após DELETE pode deixar snapshot vazio.</x:v>
      </x:c>
      <x:c r="H83" s="34" t="str">
        <x:v>B/L existente; rates ativas/vigentes; peso real disponível</x:v>
      </x:c>
      <x:c r="I83" s="34" t="str">
        <x:v>handleCalculateCharges</x:v>
      </x:c>
      <x:c r="J83" s="34" t="str">
        <x:v>calculateGraniteBlCharges apaga snapshot anterior, filtra vigência e calcula quantidade/subtotal</x:v>
      </x:c>
      <x:c r="K83" s="34" t="str">
        <x:v>DELETE/INSERT em granite_bl_charges; UPDATE de granite_bls.charge_status</x:v>
      </x:c>
      <x:c r="L83" s="34" t="str">
        <x:v>Invalida ['granite-bls'] e ['voyages']; sem cliente abre modal de linhas</x:v>
      </x:c>
      <x:c r="M83" s="34" t="str">
        <x:v>Sem rates grava calculated e retorna vazio; falha após DELETE pode deixar snapshot vazio</x:v>
      </x:c>
      <x:c r="N83" s="34" t="str">
        <x:v>Código: Granite.tsx, graniteCharges.ts</x:v>
      </x:c>
      <x:c r="O83" s="34" t="str">
        <x:v>docs/modules/granito.md</x:v>
      </x:c>
      <x:c r="P83" s="34" t="str">
        <x:v>Runtime</x:v>
      </x:c>
      <x:c r="Q83" s="34" t="str">
        <x:v>Blocked</x:v>
      </x:c>
      <x:c r="R83" s="34" t="str"/>
      <x:c r="S83" s="34" t="str">
        <x:v>Not Needed</x:v>
      </x:c>
      <x:c r="T83" s="34" t="str">
        <x:v>Not Applicable</x:v>
      </x:c>
      <x:c r="U83" s="34" t="str">
        <x:v>Passed</x:v>
      </x:c>
      <x:c r="V83" s="34" t="str">
        <x:v>calculateGraniteBlCharges test applies per_kg over the real weight and inserts the computed charge rows.</x:v>
      </x:c>
      <x:c r="W83" s="34" t="str">
        <x:v>src/services/__tests__/graniteCharges.test.ts</x:v>
      </x:c>
    </x:row>
    <x:row r="84" ht="54" customHeight="1">
      <x:c r="A84" s="33" t="str">
        <x:v>US-083</x:v>
      </x:c>
      <x:c r="B84" s="33" t="str">
        <x:v>granito</x:v>
      </x:c>
      <x:c r="C84" s="33" t="str">
        <x:v>/faturamento · promover Granito a pronto</x:v>
      </x:c>
      <x:c r="D84" s="33" t="str">
        <x:v>/faturamento · promover Granito a pronto</x:v>
      </x:c>
      <x:c r="E84" s="33" t="str">
        <x:v>Usuário interno</x:v>
      </x:c>
      <x:c r="F84" s="34" t="str">
        <x:v>Como usuário interno, quero /faturamento · promover granito a pronto para concluir o objetivo operacional descrito pela interface.</x:v>
      </x:c>
      <x:c r="G84" s="34" t="str">
        <x:v>Ao /faturamento · promover granito a pronto, o sistema deve executar markGraniteBlReady. Persistência esperada: UPDATE direto granite_bls.charge_status='ready_for_billing'. Resultado observável: Invalida queryKeys.charges.operations() e caches de invoices/B/Ls. Em falha: Erro é agregado por B/L no resultado do lote.</x:v>
      </x:c>
      <x:c r="H84" s="34" t="str">
        <x:v>Linha selecionada; ação em lote ready</x:v>
      </x:c>
      <x:c r="I84" s="34" t="str">
        <x:v>ValidacaoTab.runGraniteBatch</x:v>
      </x:c>
      <x:c r="J84" s="34" t="str">
        <x:v>markGraniteBlReady</x:v>
      </x:c>
      <x:c r="K84" s="34" t="str">
        <x:v>UPDATE direto granite_bls.charge_status='ready_for_billing'</x:v>
      </x:c>
      <x:c r="L84" s="34" t="str">
        <x:v>Invalida queryKeys.charges.operations() e caches de invoices/B/Ls</x:v>
      </x:c>
      <x:c r="M84" s="34" t="str">
        <x:v>Erro é agregado por B/L no resultado do lote</x:v>
      </x:c>
      <x:c r="N84" s="34" t="str">
        <x:v>Código: ValidacaoTab.tsx, chargeOperationsService.ts</x:v>
      </x:c>
      <x:c r="O84" s="34" t="str">
        <x:v>docs/modules/granito.md</x:v>
      </x:c>
      <x:c r="P84" s="34" t="str">
        <x:v>Runtime</x:v>
      </x:c>
      <x:c r="Q84" s="34" t="str">
        <x:v>Failed</x:v>
      </x:c>
      <x:c r="R84" s="34" t="str">
        <x:v>DEF-035, DEF-036</x:v>
      </x:c>
      <x:c r="S84" s="34" t="str">
        <x:v>Fixed</x:v>
      </x:c>
      <x:c r="T84" s="34" t="str">
        <x:v>Passed</x:v>
      </x:c>
      <x:c r="U84" s="34" t="str">
        <x:v>Passed</x:v>
      </x:c>
      <x:c r="V84" s="34" t="str">
        <x:v>Post-fix focused tests passed: DEF-035, DEF-036</x:v>
      </x:c>
      <x:c r="W84" s="34" t="str">
        <x:v>Lista e detalhe genéricos de invoices perdem vínculo operacional do Granito | RPC de Granito grava invoice com tipo individual | Validated against PostgreSQL 17 disposable fixtures.</x:v>
      </x:c>
    </x:row>
    <x:row r="85" ht="54" customHeight="1">
      <x:c r="A85" s="33" t="str">
        <x:v>US-084</x:v>
      </x:c>
      <x:c r="B85" s="33" t="str">
        <x:v>granito</x:v>
      </x:c>
      <x:c r="C85" s="33" t="str">
        <x:v>/granito · autoemitir invoice</x:v>
      </x:c>
      <x:c r="D85" s="33" t="str">
        <x:v>/granito · autoemitir invoice</x:v>
      </x:c>
      <x:c r="E85" s="33" t="str">
        <x:v>Usuário interno</x:v>
      </x:c>
      <x:c r="F85" s="34" t="str">
        <x:v>Como usuário interno, quero /granito · autoemitir invoice para concluir o objetivo operacional descrito pela interface.</x:v>
      </x:c>
      <x:c r="G85" s="34" t="str">
        <x:v>Ao /granito · autoemitir invoice, o sistema deve executar calculateGraniteBlCharges → createInvoiceFromGraniteBls → persistPixPayload. Persistência esperada: RPC create_invoice_from_granite_bls; invoices, invoice_items, invoice_granite_bls, audit_logs; UPDATE granite_bls. Resultado observável: Invalida ['invoices']; toast de sucesso. Em falha: A RPC exige admin, ready_for_billing, cliente único, total BRL positivo e ausência de invoice ativa.</x:v>
      </x:c>
      <x:c r="H85" s="34" t="str">
        <x:v>B/L com client_id; usuário; snapshot positivo e elegível</x:v>
      </x:c>
      <x:c r="I85" s="34" t="str">
        <x:v>handleCalculateCharges</x:v>
      </x:c>
      <x:c r="J85" s="34" t="str">
        <x:v>calculateGraniteBlCharges → createInvoiceFromGraniteBls → persistPixPayload</x:v>
      </x:c>
      <x:c r="K85" s="34" t="str">
        <x:v>RPC create_invoice_from_granite_bls; invoices, invoice_items, invoice_granite_bls, audit_logs; UPDATE granite_bls</x:v>
      </x:c>
      <x:c r="L85" s="34" t="str">
        <x:v>Invalida ['invoices']; toast de sucesso</x:v>
      </x:c>
      <x:c r="M85" s="34" t="str">
        <x:v>A RPC exige admin, ready_for_billing, cliente único, total BRL positivo e ausência de invoice ativa</x:v>
      </x:c>
      <x:c r="N85" s="34" t="str">
        <x:v>Código/Suspeita: Granite.tsx, billing.ts, 20260528134131_fix_granite_invoice_cancel_reissue.sql</x:v>
      </x:c>
      <x:c r="O85" s="34" t="str">
        <x:v>docs/modules/granito.md</x:v>
      </x:c>
      <x:c r="P85" s="34" t="str">
        <x:v>Runtime</x:v>
      </x:c>
      <x:c r="Q85" s="34" t="str">
        <x:v>Failed</x:v>
      </x:c>
      <x:c r="R85" s="34" t="str">
        <x:v>DEF-015</x:v>
      </x:c>
      <x:c r="S85" s="34" t="str">
        <x:v>Fixed</x:v>
      </x:c>
      <x:c r="T85" s="34" t="str">
        <x:v>Passed</x:v>
      </x:c>
      <x:c r="U85" s="34" t="str">
        <x:v>Passed</x:v>
      </x:c>
      <x:c r="V85" s="34" t="str">
        <x:v>Post-fix focused tests passed: DEF-015</x:v>
      </x:c>
      <x:c r="W85" s="34" t="str">
        <x:v>Cálculo de Granito tenta emitir invoice antes de promover o B/L</x:v>
      </x:c>
    </x:row>
    <x:row r="86" ht="54" customHeight="1">
      <x:c r="A86" s="33" t="str">
        <x:v>US-085</x:v>
      </x:c>
      <x:c r="B86" s="33" t="str">
        <x:v>granito</x:v>
      </x:c>
      <x:c r="C86" s="33" t="str">
        <x:v>/faturamento · emitir manualmente</x:v>
      </x:c>
      <x:c r="D86" s="33" t="str">
        <x:v>/faturamento · emitir manualmente</x:v>
      </x:c>
      <x:c r="E86" s="33" t="str">
        <x:v>Usuário interno</x:v>
      </x:c>
      <x:c r="F86" s="34" t="str">
        <x:v>Como usuário interno, quero /faturamento · emitir manualmente para concluir o objetivo operacional descrito pela interface.</x:v>
      </x:c>
      <x:c r="G86" s="34" t="str">
        <x:v>Ao /faturamento · emitir manualmente, o sistema deve executar Handler atual chama createInvoiceFromBls, não createInvoiceFromGraniteBls. Persistência esperada: Tenta RPC local create_invoice_from_bls_with_ledger. Resultado observável: Invalida operações, invoices e B/Ls em caso de sucesso. Em falha: Para UUID de granite_bls, o roteamento para a RPC de bls é incompatível; comportamento final não foi executado.</x:v>
      </x:c>
      <x:c r="H86" s="34" t="str">
        <x:v>Linha ready_for_billing, sem financial_status='invoiced', com cliente</x:v>
      </x:c>
      <x:c r="I86" s="34" t="str">
        <x:v>ValidacaoTab.handleIssueSingleInvoice</x:v>
      </x:c>
      <x:c r="J86" s="34" t="str">
        <x:v>Handler atual chama createInvoiceFromBls, não createInvoiceFromGraniteBls</x:v>
      </x:c>
      <x:c r="K86" s="34" t="str">
        <x:v>Tenta RPC local create_invoice_from_bls_with_ledger</x:v>
      </x:c>
      <x:c r="L86" s="34" t="str">
        <x:v>Invalida operações, invoices e B/Ls em caso de sucesso</x:v>
      </x:c>
      <x:c r="M86" s="34" t="str">
        <x:v>Para UUID de granite_bls, o roteamento para a RPC de bls é incompatível; comportamento final não foi executado</x:v>
      </x:c>
      <x:c r="N86" s="34" t="str">
        <x:v>Suspeita: ValidacaoTab.tsx, billing.ts</x:v>
      </x:c>
      <x:c r="O86" s="34" t="str">
        <x:v>docs/modules/granito.md</x:v>
      </x:c>
      <x:c r="P86" s="34" t="str">
        <x:v>Runtime</x:v>
      </x:c>
      <x:c r="Q86" s="34" t="str">
        <x:v>Failed</x:v>
      </x:c>
      <x:c r="R86" s="34" t="str">
        <x:v>DEF-016</x:v>
      </x:c>
      <x:c r="S86" s="34" t="str">
        <x:v>Fixed</x:v>
      </x:c>
      <x:c r="T86" s="34" t="str">
        <x:v>Passed</x:v>
      </x:c>
      <x:c r="U86" s="34" t="str">
        <x:v>Passed</x:v>
      </x:c>
      <x:c r="V86" s="34" t="str">
        <x:v>Post-fix focused tests passed: DEF-016</x:v>
      </x:c>
      <x:c r="W86" s="34" t="str">
        <x:v>Emissão manual de Granito chama a RPC de B/L local</x:v>
      </x:c>
    </x:row>
    <x:row r="87" ht="54" customHeight="1">
      <x:c r="A87" s="33" t="str">
        <x:v>US-086</x:v>
      </x:c>
      <x:c r="B87" s="33" t="str">
        <x:v>granito</x:v>
      </x:c>
      <x:c r="C87" s="33" t="str">
        <x:v>/faturamento · abrir invoice ligada</x:v>
      </x:c>
      <x:c r="D87" s="33" t="str">
        <x:v>/faturamento · abrir invoice ligada</x:v>
      </x:c>
      <x:c r="E87" s="33" t="str">
        <x:v>Usuário interno</x:v>
      </x:c>
      <x:c r="F87" s="34" t="str">
        <x:v>Como usuário interno, quero /faturamento · abrir invoice ligada para concluir o objetivo operacional descrito pela interface.</x:v>
      </x:c>
      <x:c r="G87" s="34" t="str">
        <x:v>Ao /faturamento · abrir invoice ligada, o sistema deve executar useInvoiceDetail → listInvoiceDetails/RPC list_invoice_details. Persistência esperada: SELECT em invoices, invoice_items, payments; vínculo Granite permanece em invoice_granite_bls. Resultado observável: Query ['invoice-detail', id]; impressão e pagamento usam a superfície comum. Em falha: Não existe link direto em /granito; lista/detalhe genéricos não consultam invoice_granite_bls para metadados do B/L.</x:v>
      </x:c>
      <x:c r="H87" s="34" t="str">
        <x:v>Invoice retornada pela lista genérica</x:v>
      </x:c>
      <x:c r="I87" s="34" t="str">
        <x:v>InvoicesTable → InvoiceDetailModal</x:v>
      </x:c>
      <x:c r="J87" s="34" t="str">
        <x:v>useInvoiceDetail → listInvoiceDetails/RPC list_invoice_details</x:v>
      </x:c>
      <x:c r="K87" s="34" t="str">
        <x:v>SELECT em invoices, invoice_items, payments; vínculo Granite permanece em invoice_granite_bls</x:v>
      </x:c>
      <x:c r="L87" s="34" t="str">
        <x:v>Query ['invoice-detail', id]; impressão e pagamento usam a superfície comum</x:v>
      </x:c>
      <x:c r="M87" s="34" t="str">
        <x:v>Não existe link direto em /granito; lista/detalhe genéricos não consultam invoice_granite_bls para metadados do B/L</x:v>
      </x:c>
      <x:c r="N87" s="34" t="str">
        <x:v>Código: Faturamento.tsx, InvoicesTable.tsx, billing.ts, 020_billing_hybrid_workflow.sql</x:v>
      </x:c>
      <x:c r="O87" s="34" t="str">
        <x:v>docs/modules/granito.md</x:v>
      </x:c>
      <x:c r="P87" s="34" t="str">
        <x:v>Runtime</x:v>
      </x:c>
      <x:c r="Q87" s="34" t="str">
        <x:v>Blocked</x:v>
      </x:c>
      <x:c r="R87" s="34" t="str"/>
      <x:c r="S87" s="34" t="str">
        <x:v>Not Needed</x:v>
      </x:c>
      <x:c r="T87" s="34" t="str">
        <x:v>Not Applicable</x:v>
      </x:c>
      <x:c r="U87" s="34" t="str">
        <x:v>Passed</x:v>
      </x:c>
      <x:c r="V87" s="34" t="str">
        <x:v>graniteInvoiceDetail test hydrates operational Granite B/L metadata when the generic RPC has no local links.</x:v>
      </x:c>
      <x:c r="W87" s="34" t="str">
        <x:v>src/services/__tests__/graniteInvoiceDetail.test.ts</x:v>
      </x:c>
    </x:row>
    <x:row r="88" ht="54" customHeight="1">
      <x:c r="A88" s="33" t="str">
        <x:v>US-087</x:v>
      </x:c>
      <x:c r="B88" s="33" t="str">
        <x:v>granito</x:v>
      </x:c>
      <x:c r="C88" s="33" t="str">
        <x:v>/revisao · vincular cliente pendente</x:v>
      </x:c>
      <x:c r="D88" s="33" t="str">
        <x:v>/revisao · vincular cliente pendente</x:v>
      </x:c>
      <x:c r="E88" s="33" t="str">
        <x:v>Usuário interno</x:v>
      </x:c>
      <x:c r="F88" s="34" t="str">
        <x:v>Como usuário interno, quero /revisao · vincular cliente pendente para concluir o objetivo operacional descrito pela interface.</x:v>
      </x:c>
      <x:c r="G88" s="34" t="str">
        <x:v>Ao /revisao · vincular cliente pendente, o sistema deve executar UPDATE direto seguido de tentativa de auditoria. Persistência esperada: granite_bls.client_id; INSERT em audit_logs. Resultado observável: Invalida revisão, Granite, clientes, operação de taxas e invoices; solicita recálculo. Em falha: Falha do UPDATE lança; o retorno da auditoria não é inspecionado e pode falhar silenciosamente.</x:v>
      </x:c>
      <x:c r="H88" s="34" t="str">
        <x:v>granite_bls.client_id IS NULL; cliente selecionado</x:v>
      </x:c>
      <x:c r="I88" s="34" t="str">
        <x:v>Revisao; saveGraniteBlReview</x:v>
      </x:c>
      <x:c r="J88" s="34" t="str">
        <x:v>UPDATE direto seguido de tentativa de auditoria</x:v>
      </x:c>
      <x:c r="K88" s="34" t="str">
        <x:v>granite_bls.client_id; INSERT em audit_logs</x:v>
      </x:c>
      <x:c r="L88" s="34" t="str">
        <x:v>Invalida revisão, Granite, clientes, operação de taxas e invoices; solicita recálculo</x:v>
      </x:c>
      <x:c r="M88" s="34" t="str">
        <x:v>Falha do UPDATE lança; o retorno da auditoria não é inspecionado e pode falhar silenciosamente</x:v>
      </x:c>
      <x:c r="N88" s="34" t="str">
        <x:v>Código: useReview.ts, review.ts, Revisao.tsx</x:v>
      </x:c>
      <x:c r="O88" s="34" t="str">
        <x:v>docs/modules/granito.md</x:v>
      </x:c>
      <x:c r="P88" s="34" t="str">
        <x:v>Runtime</x:v>
      </x:c>
      <x:c r="Q88" s="34" t="str">
        <x:v>Failed</x:v>
      </x:c>
      <x:c r="R88" s="34" t="str">
        <x:v>DEF-017</x:v>
      </x:c>
      <x:c r="S88" s="34" t="str">
        <x:v>Fixed</x:v>
      </x:c>
      <x:c r="T88" s="34" t="str">
        <x:v>Passed</x:v>
      </x:c>
      <x:c r="U88" s="34" t="str">
        <x:v>Passed</x:v>
      </x:c>
      <x:c r="V88" s="34" t="str">
        <x:v>Post-fix focused tests passed: DEF-017</x:v>
      </x:c>
      <x:c r="W88" s="34" t="str">
        <x:v>Revisão em lote de Granito reporta sucesso sem persistir alteração</x:v>
      </x:c>
    </x:row>
    <x:row r="89" ht="54" customHeight="1">
      <x:c r="A89" s="33" t="str">
        <x:v>US-088</x:v>
      </x:c>
      <x:c r="B89" s="33" t="str">
        <x:v>granito</x:v>
      </x:c>
      <x:c r="C89" s="33" t="str">
        <x:v>/granito/taxas · listar</x:v>
      </x:c>
      <x:c r="D89" s="33" t="str">
        <x:v>/granito/taxas · listar</x:v>
      </x:c>
      <x:c r="E89" s="33" t="str">
        <x:v>Usuário interno</x:v>
      </x:c>
      <x:c r="F89" s="34" t="str">
        <x:v>Como usuário interno, quero /granito/taxas · listar para concluir o objetivo operacional descrito pela interface.</x:v>
      </x:c>
      <x:c r="G89" s="34" t="str">
        <x:v>Ao /granito/taxas · listar, o sistema deve executar listGraniteRates. Persistência esperada: SELECT em granite_rates. Resultado observável: Query ['granite-rates']. Em falha: Erro mostra InlineError.</x:v>
      </x:c>
      <x:c r="H89" s="34" t="str">
        <x:v>Usuário interno ativo</x:v>
      </x:c>
      <x:c r="I89" s="34" t="str">
        <x:v>Query da página</x:v>
      </x:c>
      <x:c r="J89" s="34" t="str">
        <x:v>listGraniteRates</x:v>
      </x:c>
      <x:c r="K89" s="34" t="str">
        <x:v>SELECT em granite_rates</x:v>
      </x:c>
      <x:c r="L89" s="34" t="str">
        <x:v>Query ['granite-rates']</x:v>
      </x:c>
      <x:c r="M89" s="34" t="str">
        <x:v>Erro mostra InlineError</x:v>
      </x:c>
      <x:c r="N89" s="34" t="str">
        <x:v>Código: GraniteRates.tsx, graniteCharges.ts</x:v>
      </x:c>
      <x:c r="O89" s="34" t="str">
        <x:v>docs/modules/granito.md</x:v>
      </x:c>
      <x:c r="P89" s="34" t="str">
        <x:v>Runtime</x:v>
      </x:c>
      <x:c r="Q89" s="34" t="str">
        <x:v>Blocked</x:v>
      </x:c>
      <x:c r="R89" s="34" t="str"/>
      <x:c r="S89" s="34" t="str">
        <x:v>Not Needed</x:v>
      </x:c>
      <x:c r="T89" s="34" t="str">
        <x:v>Not Applicable</x:v>
      </x:c>
      <x:c r="U89" s="34" t="str">
        <x:v>Passed</x:v>
      </x:c>
      <x:c r="V89" s="34" t="str">
        <x:v>listGraniteRates test returns the configured rates.</x:v>
      </x:c>
      <x:c r="W89" s="34" t="str">
        <x:v>src/services/__tests__/graniteCharges.test.ts</x:v>
      </x:c>
    </x:row>
    <x:row r="90" ht="54" customHeight="1">
      <x:c r="A90" s="33" t="str">
        <x:v>US-089</x:v>
      </x:c>
      <x:c r="B90" s="33" t="str">
        <x:v>granito</x:v>
      </x:c>
      <x:c r="C90" s="33" t="str">
        <x:v>/granito/taxas · criar/editar</x:v>
      </x:c>
      <x:c r="D90" s="33" t="str">
        <x:v>/granito/taxas · criar/editar</x:v>
      </x:c>
      <x:c r="E90" s="33" t="str">
        <x:v>Usuário interno</x:v>
      </x:c>
      <x:c r="F90" s="34" t="str">
        <x:v>Como usuário interno, quero /granito/taxas · criar/editar para concluir o objetivo operacional descrito pela interface.</x:v>
      </x:c>
      <x:c r="G90" s="34" t="str">
        <x:v>Ao /granito/taxas · criar/editar, o sistema deve executar upsertGraniteRate. Persistência esperada: UPSERT em granite_rates. Resultado observável: Invalida ['granite-rates']. Em falha: Erro do banco mostra toast; UI não valida vigência cruzada; a policy atual permite INSERT/UPDATE a qualquer usuário ativo.</x:v>
      </x:c>
      <x:c r="H90" s="34" t="str">
        <x:v>A UI exige admin; descrição e tipo; valor presente</x:v>
      </x:c>
      <x:c r="I90" s="34" t="str">
        <x:v>handleSave</x:v>
      </x:c>
      <x:c r="J90" s="34" t="str">
        <x:v>upsertGraniteRate</x:v>
      </x:c>
      <x:c r="K90" s="34" t="str">
        <x:v>UPSERT em granite_rates</x:v>
      </x:c>
      <x:c r="L90" s="34" t="str">
        <x:v>Invalida ['granite-rates']</x:v>
      </x:c>
      <x:c r="M90" s="34" t="str">
        <x:v>Erro do banco mostra toast; UI não valida vigência cruzada; a policy atual permite INSERT/UPDATE a qualquer usuário ativo</x:v>
      </x:c>
      <x:c r="N90" s="34" t="str">
        <x:v>Código: GraniteRates.tsx, graniteCharges.ts, 042_rls_module_hardening.sql</x:v>
      </x:c>
      <x:c r="O90" s="34" t="str">
        <x:v>docs/modules/granito.md</x:v>
      </x:c>
      <x:c r="P90" s="34" t="str">
        <x:v>Runtime</x:v>
      </x:c>
      <x:c r="Q90" s="34" t="str">
        <x:v>Blocked</x:v>
      </x:c>
      <x:c r="R90" s="34" t="str"/>
      <x:c r="S90" s="34" t="str">
        <x:v>Not Needed</x:v>
      </x:c>
      <x:c r="T90" s="34" t="str">
        <x:v>Not Applicable</x:v>
      </x:c>
      <x:c r="U90" s="34" t="str">
        <x:v>Passed</x:v>
      </x:c>
      <x:c r="V90" s="34" t="str">
        <x:v>upsertGraniteRate test calls upsert with onConflict id for create/edit.</x:v>
      </x:c>
      <x:c r="W90" s="34" t="str">
        <x:v>src/services/__tests__/graniteCharges.test.ts</x:v>
      </x:c>
    </x:row>
    <x:row r="91" ht="54" customHeight="1">
      <x:c r="A91" s="33" t="str">
        <x:v>US-090</x:v>
      </x:c>
      <x:c r="B91" s="33" t="str">
        <x:v>granito</x:v>
      </x:c>
      <x:c r="C91" s="33" t="str">
        <x:v>/granito/taxas · ativar/desativar</x:v>
      </x:c>
      <x:c r="D91" s="33" t="str">
        <x:v>/granito/taxas · ativar/desativar</x:v>
      </x:c>
      <x:c r="E91" s="33" t="str">
        <x:v>Usuário interno</x:v>
      </x:c>
      <x:c r="F91" s="34" t="str">
        <x:v>Como usuário interno, quero /granito/taxas · ativar/desativar para concluir o objetivo operacional descrito pela interface.</x:v>
      </x:c>
      <x:c r="G91" s="34" t="str">
        <x:v>Ao /granito/taxas · ativar/desativar, o sistema deve executar upsertGraniteRate com active invertido. Persistência esperada: UPSERT em granite_rates. Resultado observável: Invalida ['granite-rates']. Em falha: Erro mostra toast; a policy de UPDATE aceita usuário ativo.</x:v>
      </x:c>
      <x:c r="H91" s="34" t="str">
        <x:v>A UI exige admin</x:v>
      </x:c>
      <x:c r="I91" s="34" t="str">
        <x:v>handleToggleActive</x:v>
      </x:c>
      <x:c r="J91" s="34" t="str">
        <x:v>upsertGraniteRate com active invertido</x:v>
      </x:c>
      <x:c r="K91" s="34" t="str">
        <x:v>UPSERT em granite_rates</x:v>
      </x:c>
      <x:c r="L91" s="34" t="str">
        <x:v>Invalida ['granite-rates']</x:v>
      </x:c>
      <x:c r="M91" s="34" t="str">
        <x:v>Erro mostra toast; a policy de UPDATE aceita usuário ativo</x:v>
      </x:c>
      <x:c r="N91" s="34" t="str">
        <x:v>Código: GraniteRates.tsx, 042_rls_module_hardening.sql</x:v>
      </x:c>
      <x:c r="O91" s="34" t="str">
        <x:v>docs/modules/granito.md</x:v>
      </x:c>
      <x:c r="P91" s="34" t="str">
        <x:v>Runtime</x:v>
      </x:c>
      <x:c r="Q91" s="34" t="str">
        <x:v>Blocked</x:v>
      </x:c>
      <x:c r="R91" s="34" t="str"/>
      <x:c r="S91" s="34" t="str">
        <x:v>Not Needed</x:v>
      </x:c>
      <x:c r="T91" s="34" t="str">
        <x:v>Not Applicable</x:v>
      </x:c>
      <x:c r="U91" s="34" t="str">
        <x:v>Passed</x:v>
      </x:c>
      <x:c r="V91" s="34" t="str">
        <x:v>upsertGraniteRate test toggles the active flag via upsert.</x:v>
      </x:c>
      <x:c r="W91" s="34" t="str">
        <x:v>src/services/__tests__/graniteCharges.test.ts</x:v>
      </x:c>
    </x:row>
    <x:row r="92" ht="54" customHeight="1">
      <x:c r="A92" s="33" t="str">
        <x:v>US-091</x:v>
      </x:c>
      <x:c r="B92" s="33" t="str">
        <x:v>granito</x:v>
      </x:c>
      <x:c r="C92" s="33" t="str">
        <x:v>/granito/taxas · excluir</x:v>
      </x:c>
      <x:c r="D92" s="33" t="str">
        <x:v>/granito/taxas · excluir</x:v>
      </x:c>
      <x:c r="E92" s="33" t="str">
        <x:v>Usuário interno</x:v>
      </x:c>
      <x:c r="F92" s="34" t="str">
        <x:v>Como usuário interno, quero /granito/taxas · excluir para concluir o objetivo operacional descrito pela interface.</x:v>
      </x:c>
      <x:c r="G92" s="34" t="str">
        <x:v>Ao /granito/taxas · excluir, o sistema deve executar deleteGraniteRate. Persistência esperada: DELETE em granite_rates; snapshots mantêm rate_id nulo por ON DELETE SET NULL. Resultado observável: Invalida ['granite-rates']. Em falha: Policy bloqueia não-admin; erro mostra toast.</x:v>
      </x:c>
      <x:c r="H92" s="34" t="str">
        <x:v>Admin; confirmação aceita</x:v>
      </x:c>
      <x:c r="I92" s="34" t="str">
        <x:v>handleDelete</x:v>
      </x:c>
      <x:c r="J92" s="34" t="str">
        <x:v>deleteGraniteRate</x:v>
      </x:c>
      <x:c r="K92" s="34" t="str">
        <x:v>DELETE em granite_rates; snapshots mantêm rate_id nulo por ON DELETE SET NULL</x:v>
      </x:c>
      <x:c r="L92" s="34" t="str">
        <x:v>Invalida ['granite-rates']</x:v>
      </x:c>
      <x:c r="M92" s="34" t="str">
        <x:v>Policy bloqueia não-admin; erro mostra toast</x:v>
      </x:c>
      <x:c r="N92" s="34" t="str">
        <x:v>Código: GraniteRates.tsx, 034_granite_module.sql</x:v>
      </x:c>
      <x:c r="O92" s="34" t="str">
        <x:v>docs/modules/granito.md</x:v>
      </x:c>
      <x:c r="P92" s="34" t="str">
        <x:v>Runtime</x:v>
      </x:c>
      <x:c r="Q92" s="34" t="str">
        <x:v>Blocked</x:v>
      </x:c>
      <x:c r="R92" s="34" t="str"/>
      <x:c r="S92" s="34" t="str">
        <x:v>Not Needed</x:v>
      </x:c>
      <x:c r="T92" s="34" t="str">
        <x:v>Not Applicable</x:v>
      </x:c>
      <x:c r="U92" s="34" t="str">
        <x:v>Passed</x:v>
      </x:c>
      <x:c r="V92" s="34" t="str">
        <x:v>deleteGraniteRate test deletes the rate by id.</x:v>
      </x:c>
      <x:c r="W92" s="34" t="str">
        <x:v>src/services/__tests__/graniteCharges.test.ts</x:v>
      </x:c>
    </x:row>
    <x:row r="93" ht="54" customHeight="1">
      <x:c r="A93" s="33" t="str">
        <x:v>US-092</x:v>
      </x:c>
      <x:c r="B93" s="33" t="str">
        <x:v>granito</x:v>
      </x:c>
      <x:c r="C93" s="33" t="str">
        <x:v>/faturamento · cancelar/reemitir</x:v>
      </x:c>
      <x:c r="D93" s="33" t="str">
        <x:v>/faturamento · cancelar/reemitir</x:v>
      </x:c>
      <x:c r="E93" s="33" t="str">
        <x:v>Usuário interno</x:v>
      </x:c>
      <x:c r="F93" s="34" t="str">
        <x:v>Como usuário interno, quero /faturamento · cancelar/reemitir para concluir o objetivo operacional descrito pela interface.</x:v>
      </x:c>
      <x:c r="G93" s="34" t="str">
        <x:v>Ao /faturamento · cancelar/reemitir, o sistema deve executar RPC cancel_invoice trava invoice e verifica pagamentos. Persistência esperada: UPDATE invoices; para vínculos em invoice_granite_bls, restaura granite_bls para ready_for_billing se não houver outra invoice ativa. Resultado observável: Hooks invalidam invoices, detalhe, billing-ready, B/Ls e clientes; nova emissão volta a ser elegível. Em falha: Invoice paga não pode ser cancelada; duplicidade ativa é bloqueada por trigger.</x:v>
      </x:c>
      <x:c r="H93" s="34" t="str">
        <x:v>Admin; invoice sem pagamentos</x:v>
      </x:c>
      <x:c r="I93" s="34" t="str">
        <x:v>InvoiceDetailModal → cancelInvoice</x:v>
      </x:c>
      <x:c r="J93" s="34" t="str">
        <x:v>RPC cancel_invoice trava invoice e verifica pagamentos</x:v>
      </x:c>
      <x:c r="K93" s="34" t="str">
        <x:v>UPDATE invoices; para vínculos em invoice_granite_bls, restaura granite_bls para ready_for_billing se não houver outra invoice ativa</x:v>
      </x:c>
      <x:c r="L93" s="34" t="str">
        <x:v>Hooks invalidam invoices, detalhe, billing-ready, B/Ls e clientes; nova emissão volta a ser elegível</x:v>
      </x:c>
      <x:c r="M93" s="34" t="str">
        <x:v>Invoice paga não pode ser cancelada; duplicidade ativa é bloqueada por trigger</x:v>
      </x:c>
      <x:c r="N93" s="34" t="str">
        <x:v>Código: InvoiceDetailModal.tsx, billing.ts, 20260528134131_fix_granite_invoice_cancel_reissue.sql</x:v>
      </x:c>
      <x:c r="O93" s="34" t="str">
        <x:v>docs/modules/granito.md</x:v>
      </x:c>
      <x:c r="P93" s="34" t="str">
        <x:v>Runtime</x:v>
      </x:c>
      <x:c r="Q93" s="34" t="str">
        <x:v>Blocked</x:v>
      </x:c>
      <x:c r="R93" s="34" t="str"/>
      <x:c r="S93" s="34" t="str">
        <x:v>Not Needed</x:v>
      </x:c>
      <x:c r="T93" s="34" t="str">
        <x:v>Not Applicable</x:v>
      </x:c>
      <x:c r="U93" s="34" t="str">
        <x:v>Passed</x:v>
      </x:c>
      <x:c r="V93" s="34" t="str">
        <x:v>cancelInvoice test calls the cancel_invoice RPC with reason/actor and propagates errors; reissue uses the existing issue flow.</x:v>
      </x:c>
      <x:c r="W93" s="34" t="str">
        <x:v>src/services/__tests__/billingCancelInvoice.test.ts</x:v>
      </x:c>
    </x:row>
    <x:row r="94" ht="54" customHeight="1">
      <x:c r="A94" s="33" t="str">
        <x:v>US-093</x:v>
      </x:c>
      <x:c r="B94" s="33" t="str">
        <x:v>manifesto-edi</x:v>
      </x:c>
      <x:c r="C94" s="33" t="str">
        <x:v>/manifestos</x:v>
      </x:c>
      <x:c r="D94" s="33" t="str">
        <x:v>filtrar, paginar, selecionar e abrir B/L</x:v>
      </x:c>
      <x:c r="E94" s="33" t="str">
        <x:v>Usuário interno</x:v>
      </x:c>
      <x:c r="F94" s="34" t="str">
        <x:v>Como usuário interno, quero filtrar, paginar, selecionar e abrir b/l para concluir o objetivo operacional descrito pela interface.</x:v>
      </x:c>
      <x:c r="G94" s="34" t="str">
        <x:v>Ao filtrar, paginar, selecionar e abrir b/l, o sistema deve executar useBls, useBlSummary, useInvoiceLinks; seleção local por useRowSelection. Persistência esperada: Leitura de bls, relações e invoices. Resultado observável: Queries ['bls', filters], ['bl-summary', filters], ['invoice-links', ...]; navega para /manifestos/:blId. Em falha: Filtros de chargeStatus/perfil podem carregar tudo e filtrar no cliente; erro de query mostra InlineError.</x:v>
      </x:c>
      <x:c r="H94" s="34" t="str">
        <x:v>Sessão interna; dados legíveis por RLS</x:v>
      </x:c>
      <x:c r="I94" s="34" t="str">
        <x:v>Manifestos</x:v>
      </x:c>
      <x:c r="J94" s="34" t="str">
        <x:v>useBls, useBlSummary, useInvoiceLinks; seleção local por useRowSelection</x:v>
      </x:c>
      <x:c r="K94" s="34" t="str">
        <x:v>Leitura de bls, relações e invoices</x:v>
      </x:c>
      <x:c r="L94" s="34" t="str">
        <x:v>Queries ['bls', filters], ['bl-summary', filters], ['invoice-links', ...]; navega para /manifestos/:blId</x:v>
      </x:c>
      <x:c r="M94" s="34" t="str">
        <x:v>Filtros de chargeStatus/perfil podem carregar tudo e filtrar no cliente; erro de query mostra InlineError</x:v>
      </x:c>
      <x:c r="N94" s="34" t="str">
        <x:v>src/pages/Manifestos.tsx; src/hooks/useBls.ts; src/hooks/useBilling.ts</x:v>
      </x:c>
      <x:c r="O94" s="34" t="str">
        <x:v>docs/modules/manifesto-edi.md</x:v>
      </x:c>
      <x:c r="P94" s="34" t="str">
        <x:v>Runtime</x:v>
      </x:c>
      <x:c r="Q94" s="34" t="str">
        <x:v>Blocked</x:v>
      </x:c>
      <x:c r="R94" s="34" t="str"/>
      <x:c r="S94" s="34" t="str">
        <x:v>Not Needed</x:v>
      </x:c>
      <x:c r="T94" s="34" t="str">
        <x:v>Not Applicable</x:v>
      </x:c>
      <x:c r="U94" s="34" t="str">
        <x:v>Passed</x:v>
      </x:c>
      <x:c r="V94" s="34" t="str">
        <x:v>Page behavior test validates filter reset, next-page navigation, row selection and B/L detail link.</x:v>
      </x:c>
      <x:c r="W94" s="34" t="str">
        <x:v>src/pages/__tests__/Manifestos.behavior.test.tsx</x:v>
      </x:c>
    </x:row>
    <x:row r="95" ht="54" customHeight="1">
      <x:c r="A95" s="33" t="str">
        <x:v>US-094</x:v>
      </x:c>
      <x:c r="B95" s="33" t="str">
        <x:v>manifesto-edi</x:v>
      </x:c>
      <x:c r="C95" s="33" t="str">
        <x:v>/manifestos</x:v>
      </x:c>
      <x:c r="D95" s="33" t="str">
        <x:v>parse e preview CNTR</x:v>
      </x:c>
      <x:c r="E95" s="33" t="str">
        <x:v>Usuário interno</x:v>
      </x:c>
      <x:c r="F95" s="34" t="str">
        <x:v>Como usuário interno, quero parse e preview cntr para concluir o objetivo operacional descrito pela interface.</x:v>
      </x:c>
      <x:c r="G95" s="34" t="str">
        <x:v>Ao parse e preview cntr, o sistema deve executar parseManifestFile detecta layout, agrupa B/Ls/containers, partes, rota, ETA e erros. Persistência esperada: Nenhuma. Resultado observável: Estado local por arquivo; preview de até 25 B/Ls e resumo consolidado. Em falha: Formato ilegível, aba ausente, arquivo grande ou parser sem preview.</x:v>
      </x:c>
      <x:c r="H95" s="34" t="str">
        <x:v>Arquivo .xlsx/.xls/.csv, até 10 MB</x:v>
      </x:c>
      <x:c r="I95" s="34" t="str">
        <x:v>UploadManifestModal.handleFile</x:v>
      </x:c>
      <x:c r="J95" s="34" t="str">
        <x:v>parseManifestFile detecta layout, agrupa B/Ls/containers, partes, rota, ETA e erros</x:v>
      </x:c>
      <x:c r="K95" s="34" t="str">
        <x:v>Nenhuma</x:v>
      </x:c>
      <x:c r="L95" s="34" t="str">
        <x:v>Estado local por arquivo; preview de até 25 B/Ls e resumo consolidado</x:v>
      </x:c>
      <x:c r="M95" s="34" t="str">
        <x:v>Formato ilegível, aba ausente, arquivo grande ou parser sem preview</x:v>
      </x:c>
      <x:c r="N95" s="34" t="str">
        <x:v>src/pages/Manifestos.tsx; src/services/manifestParser.ts; src/lib/fileGuard.ts</x:v>
      </x:c>
      <x:c r="O95" s="34" t="str">
        <x:v>docs/modules/manifesto-edi.md</x:v>
      </x:c>
      <x:c r="P95" s="34" t="str">
        <x:v>Runtime</x:v>
      </x:c>
      <x:c r="Q95" s="34" t="str">
        <x:v>Blocked</x:v>
      </x:c>
      <x:c r="R95" s="34" t="str"/>
      <x:c r="S95" s="34" t="str">
        <x:v>Not Needed</x:v>
      </x:c>
      <x:c r="T95" s="34" t="str">
        <x:v>Not Applicable</x:v>
      </x:c>
      <x:c r="U95" s="34" t="str">
        <x:v>Passed</x:v>
      </x:c>
      <x:c r="V95" s="34" t="str">
        <x:v>Parser, notify-party and real workbook fixture tests validate CNTR layouts, normalization and preview data.</x:v>
      </x:c>
      <x:c r="W95" s="34" t="str">
        <x:v>manifestParser.test.ts; manifestParser.notify.test.ts; manifestFixtures.real.test.ts</x:v>
      </x:c>
    </x:row>
    <x:row r="96" ht="54" customHeight="1">
      <x:c r="A96" s="33" t="str">
        <x:v>US-095</x:v>
      </x:c>
      <x:c r="B96" s="33" t="str">
        <x:v>manifesto-edi</x:v>
      </x:c>
      <x:c r="C96" s="33" t="str">
        <x:v>/manifestos</x:v>
      </x:c>
      <x:c r="D96" s="33" t="str">
        <x:v>importar manifesto CNTR</x:v>
      </x:c>
      <x:c r="E96" s="33" t="str">
        <x:v>Usuário interno</x:v>
      </x:c>
      <x:c r="F96" s="34" t="str">
        <x:v>Como usuário interno, quero importar manifesto cntr para concluir o objetivo operacional descrito pela interface.</x:v>
      </x:c>
      <x:c r="G96" s="34" t="str">
        <x:v>Ao importar manifesto cntr, o sistema deve executar importManifestWithRetry chama importManifest; a wrapper SQL executa lote, B/Ls, containers, erros, schedules, contatos, review gate e billing. Persistência esperada: import_batches, bls, bl_containers, import_errors, audit_logs, contatos e efeitos de billing. Resultado observável: Invalida ['bls'], ['bl-summary'], ['invoice-links'], ['voyages']. Em falha: 23505 vira duplicidade; P0429 espera 60 s e tenta uma vez; arquivos múltiplos podem terminar parcialmente.</x:v>
      </x:c>
      <x:c r="H96" s="34" t="str">
        <x:v>Viagem e usuário; preview; SHA-256 disponível</x:v>
      </x:c>
      <x:c r="I96" s="34" t="str">
        <x:v>UploadManifestModal.handleImport</x:v>
      </x:c>
      <x:c r="J96" s="34" t="str">
        <x:v>importManifestWithRetry chama importManifest; a wrapper SQL executa lote, B/Ls, containers, erros, schedules, contatos, review gate e billing</x:v>
      </x:c>
      <x:c r="K96" s="34" t="str">
        <x:v>import_batches, bls, bl_containers, import_errors, audit_logs, contatos e efeitos de billing</x:v>
      </x:c>
      <x:c r="L96" s="34" t="str">
        <x:v>Invalida ['bls'], ['bl-summary'], ['invoice-links'], ['voyages']</x:v>
      </x:c>
      <x:c r="M96" s="34" t="str">
        <x:v>23505 vira duplicidade; P0429 espera 60 s e tenta uma vez; arquivos múltiplos podem terminar parcialmente</x:v>
      </x:c>
      <x:c r="N96" s="34" t="str">
        <x:v>src/pages/Manifestos.tsx; src/services/manifestImport.ts; supabase/migrations/20260619130000_review_gate_hardening.sql</x:v>
      </x:c>
      <x:c r="O96" s="34" t="str">
        <x:v>docs/modules/manifesto-edi.md</x:v>
      </x:c>
      <x:c r="P96" s="34" t="str">
        <x:v>Runtime</x:v>
      </x:c>
      <x:c r="Q96" s="34" t="str">
        <x:v>Failed</x:v>
      </x:c>
      <x:c r="R96" s="34" t="str">
        <x:v>DEF-042</x:v>
      </x:c>
      <x:c r="S96" s="34" t="str">
        <x:v>Fixed</x:v>
      </x:c>
      <x:c r="T96" s="34" t="str">
        <x:v>Passed</x:v>
      </x:c>
      <x:c r="U96" s="34" t="str">
        <x:v>Passed</x:v>
      </x:c>
      <x:c r="V96" s="34" t="str">
        <x:v>Post-fix focused tests passed: DEF-042</x:v>
      </x:c>
      <x:c r="W96" s="34" t="str">
        <x:v>Rate limit de manifesto referencia coluna ausente em instalacao limpa | Local fixtures only; database recreated from all 142 migrations.</x:v>
      </x:c>
    </x:row>
    <x:row r="97" ht="54" customHeight="1">
      <x:c r="A97" s="33" t="str">
        <x:v>US-096</x:v>
      </x:c>
      <x:c r="B97" s="33" t="str">
        <x:v>manifesto-edi</x:v>
      </x:c>
      <x:c r="C97" s="33" t="str">
        <x:v>/manifestos</x:v>
      </x:c>
      <x:c r="D97" s="33" t="str">
        <x:v>detectar arquivo/batch duplicado</x:v>
      </x:c>
      <x:c r="E97" s="33" t="str">
        <x:v>Usuário interno</x:v>
      </x:c>
      <x:c r="F97" s="34" t="str">
        <x:v>Como usuário interno, quero detectar arquivo/batch duplicado para concluir o objetivo operacional descrito pela interface.</x:v>
      </x:c>
      <x:c r="G97" s="34" t="str">
        <x:v>Ao detectar arquivo/batch duplicado, o sistema deve executar Constraint uq_import_batches_voyage_hash; service mapeia erro. Persistência esperada: Nenhuma escrita confirmada para a tentativa rejeitada. Resultado observável: Evento best-effort manifest_import_duplicate_hash; caches só são invalidados ao final do lote da UI. Em falha: Hash indisponível bloqueia; arquivo alterado produz hash diferente.</x:v>
      </x:c>
      <x:c r="H97" s="34" t="str">
        <x:v>Mesmo hash, viagem e cargo_mode</x:v>
      </x:c>
      <x:c r="I97" s="34" t="str">
        <x:v>computeFileHash / RPC</x:v>
      </x:c>
      <x:c r="J97" s="34" t="str">
        <x:v>Constraint uq_import_batches_voyage_hash; service mapeia erro</x:v>
      </x:c>
      <x:c r="K97" s="34" t="str">
        <x:v>Nenhuma escrita confirmada para a tentativa rejeitada</x:v>
      </x:c>
      <x:c r="L97" s="34" t="str">
        <x:v>Evento best-effort manifest_import_duplicate_hash; caches só são invalidados ao final do lote da UI</x:v>
      </x:c>
      <x:c r="M97" s="34" t="str">
        <x:v>Hash indisponível bloqueia; arquivo alterado produz hash diferente</x:v>
      </x:c>
      <x:c r="N97" s="34" t="str">
        <x:v>src/services/manifestImport.ts; supabase/migrations/011_schema_hardening.sql; src/pages/Manifestos.tsx</x:v>
      </x:c>
      <x:c r="O97" s="34" t="str">
        <x:v>docs/modules/manifesto-edi.md</x:v>
      </x:c>
      <x:c r="P97" s="34" t="str">
        <x:v>Runtime</x:v>
      </x:c>
      <x:c r="Q97" s="34" t="str">
        <x:v>Blocked</x:v>
      </x:c>
      <x:c r="R97" s="34" t="str"/>
      <x:c r="S97" s="34" t="str">
        <x:v>Not Needed</x:v>
      </x:c>
      <x:c r="T97" s="34" t="str">
        <x:v>Not Applicable</x:v>
      </x:c>
      <x:c r="U97" s="34" t="str">
        <x:v>Passed</x:v>
      </x:c>
      <x:c r="V97" s="34" t="str">
        <x:v>Service and disposable integration tests validate file hash uniqueness plus 23505/P0429 error mapping.</x:v>
      </x:c>
      <x:c r="W97" s="34" t="str">
        <x:v>manifestImport.test.ts; 9/9 integration suite</x:v>
      </x:c>
    </x:row>
    <x:row r="98" ht="54" customHeight="1">
      <x:c r="A98" s="33" t="str">
        <x:v>US-097</x:v>
      </x:c>
      <x:c r="B98" s="33" t="str">
        <x:v>manifesto-edi</x:v>
      </x:c>
      <x:c r="C98" s="33" t="str">
        <x:v>Manifesto</x:v>
      </x:c>
      <x:c r="D98" s="33" t="str">
        <x:v>editar CE Master</x:v>
      </x:c>
      <x:c r="E98" s="33" t="str">
        <x:v>Usuário interno</x:v>
      </x:c>
      <x:c r="F98" s="34" t="str">
        <x:v>Como usuário interno, quero editar ce master para concluir o objetivo operacional descrito pela interface.</x:v>
      </x:c>
      <x:c r="G98" s="34" t="str">
        <x:v>Ao editar ce master, o sistema deve executar setImportBatchCeMaster chama RPC com lock, update e auditoria na mesma transação. Persistência esperada: import_batches.ce_master + audit_logs. Resultado observável: Invalida ['voyages'] e timeline/schedules pela página Viagens. Em falha: Não existe ação inline atual em /manifestos; batches agrupados ainda são enviados em chamadas independentes.</x:v>
      </x:c>
      <x:c r="H98" s="34" t="str">
        <x:v>Batch/manifesto existente; usuário ativo</x:v>
      </x:c>
      <x:c r="I98" s="34" t="str">
        <x:v>PolScheduleModal em /viagens/:voyageId</x:v>
      </x:c>
      <x:c r="J98" s="34" t="str">
        <x:v>setImportBatchCeMaster chama RPC com lock, update e auditoria na mesma transação</x:v>
      </x:c>
      <x:c r="K98" s="34" t="str">
        <x:v>import_batches.ce_master + audit_logs</x:v>
      </x:c>
      <x:c r="L98" s="34" t="str">
        <x:v>Invalida ['voyages'] e timeline/schedules pela página Viagens</x:v>
      </x:c>
      <x:c r="M98" s="34" t="str">
        <x:v>Não existe ação inline atual em /manifestos; batches agrupados ainda são enviados em chamadas independentes</x:v>
      </x:c>
      <x:c r="N98" s="34" t="str">
        <x:v>src/pages/Viagens.tsx; src/services/manifestImport.ts; supabase/migrations/20260623110000_set_import_batch_ce_master_atomic.sql</x:v>
      </x:c>
      <x:c r="O98" s="34" t="str">
        <x:v>docs/modules/manifesto-edi.md</x:v>
      </x:c>
      <x:c r="P98" s="34" t="str">
        <x:v>Runtime</x:v>
      </x:c>
      <x:c r="Q98" s="34" t="str">
        <x:v>Failed</x:v>
      </x:c>
      <x:c r="R98" s="34" t="str">
        <x:v>DEF-053</x:v>
      </x:c>
      <x:c r="S98" s="34" t="str">
        <x:v>Fixed</x:v>
      </x:c>
      <x:c r="T98" s="34" t="str">
        <x:v>Passed</x:v>
      </x:c>
      <x:c r="U98" s="34" t="str">
        <x:v>Passed</x:v>
      </x:c>
      <x:c r="V98" s="34" t="str">
        <x:v>Post-fix focused tests passed: DEF-053</x:v>
      </x:c>
      <x:c r="W98" s="34" t="str">
        <x:v>CE Master pode ser salvo sem sua auditoria | src/services/__tests__/manifestCeMasterAtomic.test.ts</x:v>
      </x:c>
    </x:row>
    <x:row r="99" ht="54" customHeight="1">
      <x:c r="A99" s="33" t="str">
        <x:v>US-098</x:v>
      </x:c>
      <x:c r="B99" s="33" t="str">
        <x:v>manifesto-edi</x:v>
      </x:c>
      <x:c r="C99" s="33" t="str">
        <x:v>CE Mercante por linha</x:v>
      </x:c>
      <x:c r="D99" s="33" t="str">
        <x:v>CE Mercante por linha</x:v>
      </x:c>
      <x:c r="E99" s="33" t="str">
        <x:v>Usuário interno</x:v>
      </x:c>
      <x:c r="F99" s="34" t="str">
        <x:v>Como usuário interno, quero ce mercante por linha para concluir o objetivo operacional descrito pela interface.</x:v>
      </x:c>
      <x:c r="G99" s="34" t="str">
        <x:v>Ao ce mercante por linha, o sistema deve executar Parser valida cabeçalhos, BL único e CE de 15 dígitos; importCeMercanteRows chama apply_ce_mercante_update por linha. Persistência esperada: bls.ce_mercante e auditoria pela RPC. Resultado observável: Invalida ['bls'], ['bl-detail']. Em falha: Pode cruzar batches; erros são por linha e não revertem updates anteriores.</x:v>
      </x:c>
      <x:c r="H99" s="34" t="str">
        <x:v>Planilha válida; B/L existente</x:v>
      </x:c>
      <x:c r="I99" s="34" t="str">
        <x:v>CeMercanteImportModal.handleSheetImport</x:v>
      </x:c>
      <x:c r="J99" s="34" t="str">
        <x:v>Parser valida cabeçalhos, BL único e CE de 15 dígitos; importCeMercanteRows chama apply_ce_mercante_update por linha</x:v>
      </x:c>
      <x:c r="K99" s="34" t="str">
        <x:v>bls.ce_mercante e auditoria pela RPC</x:v>
      </x:c>
      <x:c r="L99" s="34" t="str">
        <x:v>Invalida ['bls'], ['bl-detail']</x:v>
      </x:c>
      <x:c r="M99" s="34" t="str">
        <x:v>Pode cruzar batches; erros são por linha e não revertem updates anteriores</x:v>
      </x:c>
      <x:c r="N99" s="34" t="str">
        <x:v>src/components/shared/CeMercanteImportModal.tsx; src/services/ceMercanteImport.ts</x:v>
      </x:c>
      <x:c r="O99" s="34" t="str">
        <x:v>docs/modules/manifesto-edi.md</x:v>
      </x:c>
      <x:c r="P99" s="34" t="str">
        <x:v>Runtime</x:v>
      </x:c>
      <x:c r="Q99" s="34" t="str">
        <x:v>Blocked</x:v>
      </x:c>
      <x:c r="R99" s="34" t="str"/>
      <x:c r="S99" s="34" t="str">
        <x:v>Not Needed</x:v>
      </x:c>
      <x:c r="T99" s="34" t="str">
        <x:v>Not Applicable</x:v>
      </x:c>
      <x:c r="U99" s="34" t="str">
        <x:v>Passed</x:v>
      </x:c>
      <x:c r="V99" s="34" t="str">
        <x:v>Parser/service tests validate headers, unique B/L rows, 15-digit CE values and per-row RPC updates.</x:v>
      </x:c>
      <x:c r="W99" s="34" t="str">
        <x:v>src/services/__tests__/ceMercanteImport.test.ts</x:v>
      </x:c>
    </x:row>
    <x:row r="100" ht="54" customHeight="1">
      <x:c r="A100" s="33" t="str">
        <x:v>US-099</x:v>
      </x:c>
      <x:c r="B100" s="33" t="str">
        <x:v>manifesto-edi</x:v>
      </x:c>
      <x:c r="C100" s="33" t="str">
        <x:v>CE Mercante por manifesto EDI</x:v>
      </x:c>
      <x:c r="D100" s="33" t="str">
        <x:v>CE Mercante por manifesto EDI</x:v>
      </x:c>
      <x:c r="E100" s="33" t="str">
        <x:v>Usuário interno</x:v>
      </x:c>
      <x:c r="F100" s="34" t="str">
        <x:v>Como usuário interno, quero ce mercante por manifesto edi para concluir o objetivo operacional descrito pela interface.</x:v>
      </x:c>
      <x:c r="G100" s="34" t="str">
        <x:v>Ao ce mercante por manifesto edi, o sistema deve executar parseCeMercanteEdiFile + RPC apply_ce_mercante_manifest all-or-nothing. Persistência esperada: bls.ce_mercante, audit_logs. Resultado observável: Invalida ['bls'], ['bl-detail']. Em falha: BL/CE duplicado, CE fora de 15 dígitos, B/L inexistente, batches mistos ou cobertura incompleta retornam ok=false; nada é gravado.</x:v>
      </x:c>
      <x:c r="H100" s="34" t="str">
        <x:v>Registros C válidos e cobertura total de um único batch</x:v>
      </x:c>
      <x:c r="I100" s="34" t="str">
        <x:v>CeMercanteImportModal.handleEdiImport</x:v>
      </x:c>
      <x:c r="J100" s="34" t="str">
        <x:v>parseCeMercanteEdiFile + RPC apply_ce_mercante_manifest all-or-nothing</x:v>
      </x:c>
      <x:c r="K100" s="34" t="str">
        <x:v>bls.ce_mercante, audit_logs</x:v>
      </x:c>
      <x:c r="L100" s="34" t="str">
        <x:v>Invalida ['bls'], ['bl-detail']</x:v>
      </x:c>
      <x:c r="M100" s="34" t="str">
        <x:v>BL/CE duplicado, CE fora de 15 dígitos, B/L inexistente, batches mistos ou cobertura incompleta retornam ok=false; nada é gravado</x:v>
      </x:c>
      <x:c r="N100" s="34" t="str">
        <x:v>src/services/ceMercanteEdiParser.ts; src/services/ceMercanteImport.ts; supabase/migrations/20260608191844_apply_ce_mercante_manifest.sql</x:v>
      </x:c>
      <x:c r="O100" s="34" t="str">
        <x:v>docs/modules/manifesto-edi.md</x:v>
      </x:c>
      <x:c r="P100" s="34" t="str">
        <x:v>Runtime</x:v>
      </x:c>
      <x:c r="Q100" s="34" t="str">
        <x:v>Blocked</x:v>
      </x:c>
      <x:c r="R100" s="34" t="str"/>
      <x:c r="S100" s="34" t="str">
        <x:v>Not Needed</x:v>
      </x:c>
      <x:c r="T100" s="34" t="str">
        <x:v>Not Applicable</x:v>
      </x:c>
      <x:c r="U100" s="34" t="str">
        <x:v>Passed</x:v>
      </x:c>
      <x:c r="V100" s="34" t="str">
        <x:v>EDI parser, service and SQL-contract tests validate complete single-batch all-or-nothing application.</x:v>
      </x:c>
      <x:c r="W100" s="34" t="str">
        <x:v>ceMercanteEdiParser.test.ts; ceMercanteImport.test.ts; apply CE migration</x:v>
      </x:c>
    </x:row>
    <x:row r="101" ht="54" customHeight="1">
      <x:c r="A101" s="33" t="str">
        <x:v>US-100</x:v>
      </x:c>
      <x:c r="B101" s="33" t="str">
        <x:v>manifesto-edi</x:v>
      </x:c>
      <x:c r="C101" s="33" t="str">
        <x:v>Excluir B/L elegível</x:v>
      </x:c>
      <x:c r="D101" s="33" t="str">
        <x:v>Excluir B/L elegível</x:v>
      </x:c>
      <x:c r="E101" s="33" t="str">
        <x:v>Usuário interno</x:v>
      </x:c>
      <x:c r="F101" s="34" t="str">
        <x:v>Como usuário interno, quero excluir b/l elegível para concluir o objetivo operacional descrito pela interface.</x:v>
      </x:c>
      <x:c r="G101" s="34" t="str">
        <x:v>Ao excluir b/l elegível, o sistema deve executar checkBlDependencies; confirmação; deleteBls remove veículos e B/L. Persistência esperada: Hard delete de vehicles e bls; cascatas operacionais; auditoria de exclusão. Resultado observável: Invalida ['bls'], ['bl-summary'], ['containers'], ['vehicles'], ['invoice-links'], ['voyages']. Em falha: Bloqueadores fiscais geram exclusão parcial ou nenhuma; operação irreversível.</x:v>
      </x:c>
      <x:c r="H101" s="34" t="str">
        <x:v>Admin; sem invoice, invoice consolidada, recebível, vínculo de recebível ou demurrage invoice</x:v>
      </x:c>
      <x:c r="I101" s="34" t="str">
        <x:v>runBlDelete</x:v>
      </x:c>
      <x:c r="J101" s="34" t="str">
        <x:v>checkBlDependencies; confirmação; deleteBls remove veículos e B/L</x:v>
      </x:c>
      <x:c r="K101" s="34" t="str">
        <x:v>Hard delete de vehicles e bls; cascatas operacionais; auditoria de exclusão</x:v>
      </x:c>
      <x:c r="L101" s="34" t="str">
        <x:v>Invalida ['bls'], ['bl-summary'], ['containers'], ['vehicles'], ['invoice-links'], ['voyages']</x:v>
      </x:c>
      <x:c r="M101" s="34" t="str">
        <x:v>Bloqueadores fiscais geram exclusão parcial ou nenhuma; operação irreversível</x:v>
      </x:c>
      <x:c r="N101" s="34" t="str">
        <x:v>src/pages/Manifestos.tsx; src/services/bls.ts; docs/adr/0009-hard-delete-controlado-bloqueios-fiscais-auditoria.md</x:v>
      </x:c>
      <x:c r="O101" s="34" t="str">
        <x:v>docs/modules/manifesto-edi.md</x:v>
      </x:c>
      <x:c r="P101" s="34" t="str">
        <x:v>Runtime</x:v>
      </x:c>
      <x:c r="Q101" s="34" t="str">
        <x:v>Blocked</x:v>
      </x:c>
      <x:c r="R101" s="34" t="str"/>
      <x:c r="S101" s="34" t="str">
        <x:v>Not Needed</x:v>
      </x:c>
      <x:c r="T101" s="34" t="str">
        <x:v>Not Applicable</x:v>
      </x:c>
      <x:c r="U101" s="34" t="str">
        <x:v>Passed</x:v>
      </x:c>
      <x:c r="V101" s="34" t="str">
        <x:v>Service tests validate dependency blocking, vehicle-first deletion and database error propagation.</x:v>
      </x:c>
      <x:c r="W101" s="34" t="str">
        <x:v>src/services/__tests__/bls.delete.test.ts</x:v>
      </x:c>
    </x:row>
    <x:row r="102" ht="54" customHeight="1">
      <x:c r="A102" s="33" t="str">
        <x:v>US-101</x:v>
      </x:c>
      <x:c r="B102" s="33" t="str">
        <x:v>manifesto-edi</x:v>
      </x:c>
      <x:c r="C102" s="33" t="str">
        <x:v>B/L</x:v>
      </x:c>
      <x:c r="D102" s="33" t="str">
        <x:v>sincronizar aba com URL</x:v>
      </x:c>
      <x:c r="E102" s="33" t="str">
        <x:v>Usuário interno</x:v>
      </x:c>
      <x:c r="F102" s="34" t="str">
        <x:v>Como usuário interno, quero sincronizar aba com url para concluir o objetivo operacional descrito pela interface.</x:v>
      </x:c>
      <x:c r="G102" s="34" t="str">
        <x:v>Ao sincronizar aba com url, o sistema deve executar detalhes remove tab; demais definem query. Persistência esperada: Nenhuma. Resultado observável: Preserva componentes montados por prop active. Em falha: Query desconhecida cai em detalhes.</x:v>
      </x:c>
      <x:c r="H102" s="34" t="str">
        <x:v>B/L válido</x:v>
      </x:c>
      <x:c r="I102" s="34" t="str">
        <x:v>BL_TABS / setSearchParams</x:v>
      </x:c>
      <x:c r="J102" s="34" t="str">
        <x:v>detalhes remove tab; demais definem query</x:v>
      </x:c>
      <x:c r="K102" s="34" t="str">
        <x:v>Nenhuma</x:v>
      </x:c>
      <x:c r="L102" s="34" t="str">
        <x:v>Preserva componentes montados por prop active</x:v>
      </x:c>
      <x:c r="M102" s="34" t="str">
        <x:v>Query desconhecida cai em detalhes</x:v>
      </x:c>
      <x:c r="N102" s="34" t="str">
        <x:v>src/pages/BlDetalhe.tsx; src/pages/__tests__/blTabs.test.tsx</x:v>
      </x:c>
      <x:c r="O102" s="34" t="str">
        <x:v>docs/modules/manifesto-edi.md</x:v>
      </x:c>
      <x:c r="P102" s="34" t="str">
        <x:v>Runtime</x:v>
      </x:c>
      <x:c r="Q102" s="34" t="str">
        <x:v>Blocked</x:v>
      </x:c>
      <x:c r="R102" s="34" t="str"/>
      <x:c r="S102" s="34" t="str">
        <x:v>Not Needed</x:v>
      </x:c>
      <x:c r="T102" s="34" t="str">
        <x:v>Not Applicable</x:v>
      </x:c>
      <x:c r="U102" s="34" t="str">
        <x:v>Passed</x:v>
      </x:c>
      <x:c r="V102" s="34" t="str">
        <x:v>Route tests validate exactly three tab keys and fallback to details for unknown values.</x:v>
      </x:c>
      <x:c r="W102" s="34" t="str">
        <x:v>src/pages/__tests__/blTabs.test.tsx</x:v>
      </x:c>
    </x:row>
    <x:row r="103" ht="54" customHeight="1">
      <x:c r="A103" s="33" t="str">
        <x:v>US-102</x:v>
      </x:c>
      <x:c r="B103" s="33" t="str">
        <x:v>manifesto-edi</x:v>
      </x:c>
      <x:c r="C103" s="33" t="str">
        <x:v>B/L</x:v>
      </x:c>
      <x:c r="D103" s="33" t="str">
        <x:v>editar revisão operacional e carga</x:v>
      </x:c>
      <x:c r="E103" s="33" t="str">
        <x:v>Usuário interno</x:v>
      </x:c>
      <x:c r="F103" s="34" t="str">
        <x:v>Como usuário interno, quero editar revisão operacional e carga para concluir o objetivo operacional descrito pela interface.</x:v>
      </x:c>
      <x:c r="G103" s="34" t="str">
        <x:v>Ao editar revisão operacional e carga, o sistema deve executar Normaliza campos, cria auditoria por campo e chama save_bl_review; BB sincroniza toneladas para kg. Persistência esperada: bls, audit_logs, fila de reconciliação; status recalculado pelo gate. Resultado observável: Invalida ['bl-detail', blId], ['audit-logs','bl',blId], ['bls'], ['voyages']. Em falha: Sem mudança/justificativa; número inválido; PT409/40001 recarrega após conflito.</x:v>
      </x:c>
      <x:c r="H103" s="34" t="str">
        <x:v>Mudança detectada; justificativa; usuário; updated_at esperado</x:v>
      </x:c>
      <x:c r="I103" s="34" t="str">
        <x:v>BlOperacionalTab / useBlEditForm</x:v>
      </x:c>
      <x:c r="J103" s="34" t="str">
        <x:v>Normaliza campos, cria auditoria por campo e chama save_bl_review; BB sincroniza toneladas para kg</x:v>
      </x:c>
      <x:c r="K103" s="34" t="str">
        <x:v>bls, audit_logs, fila de reconciliação; status recalculado pelo gate</x:v>
      </x:c>
      <x:c r="L103" s="34" t="str">
        <x:v>Invalida ['bl-detail', blId], ['audit-logs','bl',blId], ['bls'], ['voyages']</x:v>
      </x:c>
      <x:c r="M103" s="34" t="str">
        <x:v>Sem mudança/justificativa; número inválido; PT409/40001 recarrega após conflito</x:v>
      </x:c>
      <x:c r="N103" s="34" t="str">
        <x:v>src/hooks/useBlEditForm.ts; supabase/migrations/20260619130000_review_gate_hardening.sql</x:v>
      </x:c>
      <x:c r="O103" s="34" t="str">
        <x:v>docs/modules/manifesto-edi.md</x:v>
      </x:c>
      <x:c r="P103" s="34" t="str">
        <x:v>Runtime</x:v>
      </x:c>
      <x:c r="Q103" s="34" t="str">
        <x:v>Blocked</x:v>
      </x:c>
      <x:c r="R103" s="34" t="str"/>
      <x:c r="S103" s="34" t="str">
        <x:v>Not Needed</x:v>
      </x:c>
      <x:c r="T103" s="34" t="str">
        <x:v>Not Applicable</x:v>
      </x:c>
      <x:c r="U103" s="34" t="str">
        <x:v>Passed</x:v>
      </x:c>
      <x:c r="V103" s="34" t="str">
        <x:v>Review service and canonical-gate SQL tests validate audited field updates, optimistic locking and database-owned review status.</x:v>
      </x:c>
      <x:c r="W103" s="34" t="str">
        <x:v>review.test.ts; reviewGateCanonicalMigration.test.ts; reviewGateHardeningMigration.test.ts</x:v>
      </x:c>
    </x:row>
    <x:row r="104" ht="54" customHeight="1">
      <x:c r="A104" s="33" t="str">
        <x:v>US-103</x:v>
      </x:c>
      <x:c r="B104" s="33" t="str">
        <x:v>manifesto-edi</x:v>
      </x:c>
      <x:c r="C104" s="33" t="str">
        <x:v>B/L</x:v>
      </x:c>
      <x:c r="D104" s="33" t="str">
        <x:v>exibir NCM e Notify Party</x:v>
      </x:c>
      <x:c r="E104" s="33" t="str">
        <x:v>Usuário interno</x:v>
      </x:c>
      <x:c r="F104" s="34" t="str">
        <x:v>Como usuário interno, quero exibir ncm e notify party para concluir o objetivo operacional descrito pela interface.</x:v>
      </x:c>
      <x:c r="G104" s="34" t="str">
        <x:v>Ao exibir ncm e notify party, o sistema deve executar listBlNcms deriva chips; parser CNTR preserva primeira notify ou SAME AS CONSIGNEE. Persistência esperada: NCM não persiste em coluna própria; notify_party persiste em bls. Resultado observável: Sem query própria. Em falha: NCM ausente mostra vazio; notify de imports anteriores não recebe backfill.</x:v>
      </x:c>
      <x:c r="H104" s="34" t="str">
        <x:v>Descrição/notify importados ou editados</x:v>
      </x:c>
      <x:c r="I104" s="34" t="str">
        <x:v>BlOperacionalTab</x:v>
      </x:c>
      <x:c r="J104" s="34" t="str">
        <x:v>listBlNcms deriva chips; parser CNTR preserva primeira notify ou SAME AS CONSIGNEE</x:v>
      </x:c>
      <x:c r="K104" s="34" t="str">
        <x:v>NCM não persiste em coluna própria; notify_party persiste em bls</x:v>
      </x:c>
      <x:c r="L104" s="34" t="str">
        <x:v>Sem query própria</x:v>
      </x:c>
      <x:c r="M104" s="34" t="str">
        <x:v>NCM ausente mostra vazio; notify de imports anteriores não recebe backfill</x:v>
      </x:c>
      <x:c r="N104" s="34" t="str">
        <x:v>src/lib/ncm.ts; src/services/manifestParser.ts; src/services/manifestImport.ts</x:v>
      </x:c>
      <x:c r="O104" s="34" t="str">
        <x:v>docs/modules/manifesto-edi.md</x:v>
      </x:c>
      <x:c r="P104" s="34" t="str">
        <x:v>Runtime</x:v>
      </x:c>
      <x:c r="Q104" s="34" t="str">
        <x:v>Blocked</x:v>
      </x:c>
      <x:c r="R104" s="34" t="str"/>
      <x:c r="S104" s="34" t="str">
        <x:v>Not Needed</x:v>
      </x:c>
      <x:c r="T104" s="34" t="str">
        <x:v>Not Applicable</x:v>
      </x:c>
      <x:c r="U104" s="34" t="str">
        <x:v>Passed</x:v>
      </x:c>
      <x:c r="V104" s="34" t="str">
        <x:v>NCM and manifest parser tests validate derived/deduplicated codes and notify-party preservation.</x:v>
      </x:c>
      <x:c r="W104" s="34" t="str">
        <x:v>ncm.test.ts; manifestParser.notify.test.ts</x:v>
      </x:c>
    </x:row>
    <x:row r="105" ht="54" customHeight="1">
      <x:c r="A105" s="33" t="str">
        <x:v>US-104</x:v>
      </x:c>
      <x:c r="B105" s="33" t="str">
        <x:v>manifesto-edi</x:v>
      </x:c>
      <x:c r="C105" s="33" t="str">
        <x:v>B/L</x:v>
      </x:c>
      <x:c r="D105" s="33" t="str">
        <x:v>vincular, criar ou desvincular cliente</x:v>
      </x:c>
      <x:c r="E105" s="33" t="str">
        <x:v>Usuário interno</x:v>
      </x:c>
      <x:c r="F105" s="34" t="str">
        <x:v>Como usuário interno, quero vincular, criar ou desvincular cliente para concluir o objetivo operacional descrito pela interface.</x:v>
      </x:c>
      <x:c r="G105" s="34" t="str">
        <x:v>Ao vincular, criar ou desvincular cliente, o sistema deve executar save_bl_review para vínculo; createCustomer e depois vínculo; fallback procura CNPJ já existente. Persistência esperada: customers, contatos e bls.customer_id/reconciliação. Resultado observável: Invalida queryKeys.bls.detail(bl.id). Em falha: Conflitos/duplicidade de cliente; falha genérica na UI; vínculo exige estado atual do B/L.</x:v>
      </x:c>
      <x:c r="H105" s="34" t="str">
        <x:v>Usuário; B/L carregado; dados de manifesto para criação</x:v>
      </x:c>
      <x:c r="I105" s="34" t="str">
        <x:v>BlClienteSection</x:v>
      </x:c>
      <x:c r="J105" s="34" t="str">
        <x:v>save_bl_review para vínculo; createCustomer e depois vínculo; fallback procura CNPJ já existente</x:v>
      </x:c>
      <x:c r="K105" s="34" t="str">
        <x:v>customers, contatos e bls.customer_id/reconciliação</x:v>
      </x:c>
      <x:c r="L105" s="34" t="str">
        <x:v>Invalida queryKeys.bls.detail(bl.id)</x:v>
      </x:c>
      <x:c r="M105" s="34" t="str">
        <x:v>Conflitos/duplicidade de cliente; falha genérica na UI; vínculo exige estado atual do B/L</x:v>
      </x:c>
      <x:c r="N105" s="34" t="str">
        <x:v>src/components/bl/BlClienteSection.tsx; src/services/customers.ts</x:v>
      </x:c>
      <x:c r="O105" s="34" t="str">
        <x:v>docs/modules/manifesto-edi.md</x:v>
      </x:c>
      <x:c r="P105" s="34" t="str">
        <x:v>Runtime</x:v>
      </x:c>
      <x:c r="Q105" s="34" t="str">
        <x:v>Blocked</x:v>
      </x:c>
      <x:c r="R105" s="34" t="str"/>
      <x:c r="S105" s="34" t="str">
        <x:v>Not Needed</x:v>
      </x:c>
      <x:c r="T105" s="34" t="str">
        <x:v>Not Applicable</x:v>
      </x:c>
      <x:c r="U105" s="34" t="str">
        <x:v>Passed</x:v>
      </x:c>
      <x:c r="V105" s="34" t="str">
        <x:v>Atomic customer creation and hardened save_bl_review contracts validate creation, link/unlink and reconciliation status updates.</x:v>
      </x:c>
      <x:c r="W105" s="34" t="str">
        <x:v>customerCreateAtomic.test.ts; reviewGateHardeningMigration.test.ts</x:v>
      </x:c>
    </x:row>
    <x:row r="106" ht="54" customHeight="1">
      <x:c r="A106" s="33" t="str">
        <x:v>US-105</x:v>
      </x:c>
      <x:c r="B106" s="33" t="str">
        <x:v>manifesto-edi</x:v>
      </x:c>
      <x:c r="C106" s="33" t="str">
        <x:v>B/L</x:v>
      </x:c>
      <x:c r="D106" s="33" t="str">
        <x:v>calcular/revisar taxas e faturar</x:v>
      </x:c>
      <x:c r="E106" s="33" t="str">
        <x:v>Usuário interno</x:v>
      </x:c>
      <x:c r="F106" s="34" t="str">
        <x:v>Como usuário interno, quero calcular/revisar taxas e faturar para concluir o objetivo operacional descrito pela interface.</x:v>
      </x:c>
      <x:c r="G106" s="34" t="str">
        <x:v>Ao calcular/revisar taxas e faturar, o sistema deve executar Hooks de taxas; linhas manuais; markBlReadyAndCreateInvoice quando há cliente. Persistência esperada: charge_calculations, bls, recebíveis/invoices conforme serviços/RPCs. Resultado observável: Invalida famílias de linhas, B/Ls, pendências, voyages e invoices; caminho de emissão também usa arrays literais. Em falha: Pendência de revisão, ausência de cliente, USD ou tabela ausente bloqueiam; B/L faturado trava edição.</x:v>
      </x:c>
      <x:c r="H106" s="34" t="str">
        <x:v>Usuário; linhas/tabela elegíveis; gate e cliente coerentes</x:v>
      </x:c>
      <x:c r="I106" s="34" t="str">
        <x:v>BlCobrancasSection</x:v>
      </x:c>
      <x:c r="J106" s="34" t="str">
        <x:v>Hooks de taxas; linhas manuais; markBlReadyAndCreateInvoice quando há cliente</x:v>
      </x:c>
      <x:c r="K106" s="34" t="str">
        <x:v>charge_calculations, bls, recebíveis/invoices conforme serviços/RPCs</x:v>
      </x:c>
      <x:c r="L106" s="34" t="str">
        <x:v>Invalida famílias de linhas, B/Ls, pendências, voyages e invoices; caminho de emissão também usa arrays literais</x:v>
      </x:c>
      <x:c r="M106" s="34" t="str">
        <x:v>Pendência de revisão, ausência de cliente, USD ou tabela ausente bloqueiam; B/L faturado trava edição</x:v>
      </x:c>
      <x:c r="N106" s="34" t="str">
        <x:v>src/components/bl/BlCobrancasTab.tsx; src/hooks/useLocalCharges.ts; src/services/billing.ts</x:v>
      </x:c>
      <x:c r="O106" s="34" t="str">
        <x:v>docs/modules/manifesto-edi.md</x:v>
      </x:c>
      <x:c r="P106" s="34" t="str">
        <x:v>Runtime</x:v>
      </x:c>
      <x:c r="Q106" s="34" t="str">
        <x:v>Blocked</x:v>
      </x:c>
      <x:c r="R106" s="34" t="str"/>
      <x:c r="S106" s="34" t="str">
        <x:v>Not Needed</x:v>
      </x:c>
      <x:c r="T106" s="34" t="str">
        <x:v>Not Applicable</x:v>
      </x:c>
      <x:c r="U106" s="34" t="str">
        <x:v>Passed</x:v>
      </x:c>
      <x:c r="V106" s="34" t="str">
        <x:v>Local-charge, billing and atomic invoice workflow tests cover calculation, review, readiness and issuance.</x:v>
      </x:c>
      <x:c r="W106" s="34" t="str">
        <x:v>localCharges.test.ts; localBatchBillingWorkflow.test.ts; billing tests</x:v>
      </x:c>
    </x:row>
    <x:row r="107" ht="54" customHeight="1">
      <x:c r="A107" s="33" t="str">
        <x:v>US-106</x:v>
      </x:c>
      <x:c r="B107" s="33" t="str">
        <x:v>manifesto-edi</x:v>
      </x:c>
      <x:c r="C107" s="33" t="str">
        <x:v>B/L</x:v>
      </x:c>
      <x:c r="D107" s="33" t="str">
        <x:v>configurar demurrage e datas de retorno</x:v>
      </x:c>
      <x:c r="E107" s="33" t="str">
        <x:v>Usuário interno</x:v>
      </x:c>
      <x:c r="F107" s="34" t="str">
        <x:v>Como usuário interno, quero configurar demurrage e datas de retorno para concluir o objetivo operacional descrito pela interface.</x:v>
      </x:c>
      <x:c r="G107" s="34" t="str">
        <x:v>Ao configurar demurrage e datas de retorno, o sistema deve executar save_bl_demurrage_config grava free time, P1/P2 e auditoria com optimistic lock; retorno usa updateContainerReturnDate. Persistência esperada: bls, bl_containers, audit_logs. Resultado observável: Invalida queryKeys.bls.detail(bl.id), queryKeys.bls.all(), ['demurrage-containers']. Em falha: Conflito concorrente recarrega o B/L; regras pertencem a Demurrage.</x:v>
      </x:c>
      <x:c r="H107" s="34" t="str">
        <x:v>Usuário ativo; container/B/L carregado</x:v>
      </x:c>
      <x:c r="I107" s="34" t="str">
        <x:v>BlDemurrageSection</x:v>
      </x:c>
      <x:c r="J107" s="34" t="str">
        <x:v>save_bl_demurrage_config grava free time, P1/P2 e auditoria com optimistic lock; retorno usa updateContainerReturnDate</x:v>
      </x:c>
      <x:c r="K107" s="34" t="str">
        <x:v>bls, bl_containers, audit_logs</x:v>
      </x:c>
      <x:c r="L107" s="34" t="str">
        <x:v>Invalida queryKeys.bls.detail(bl.id), queryKeys.bls.all(), ['demurrage-containers']</x:v>
      </x:c>
      <x:c r="M107" s="34" t="str">
        <x:v>Conflito concorrente recarrega o B/L; regras pertencem a Demurrage</x:v>
      </x:c>
      <x:c r="N107" s="34" t="str">
        <x:v>src/components/bl/BlDemurrageSection.tsx; src/services/blDemurrageConfig.ts; supabase/migrations/20260623112000_save_bl_demurrage_config_atomic.sql</x:v>
      </x:c>
      <x:c r="O107" s="34" t="str">
        <x:v>docs/modules/manifesto-edi.md</x:v>
      </x:c>
      <x:c r="P107" s="34" t="str">
        <x:v>Runtime</x:v>
      </x:c>
      <x:c r="Q107" s="34" t="str">
        <x:v>Failed</x:v>
      </x:c>
      <x:c r="R107" s="34" t="str">
        <x:v>DEF-054</x:v>
      </x:c>
      <x:c r="S107" s="34" t="str">
        <x:v>Fixed</x:v>
      </x:c>
      <x:c r="T107" s="34" t="str">
        <x:v>Passed</x:v>
      </x:c>
      <x:c r="U107" s="34" t="str">
        <x:v>Passed</x:v>
      </x:c>
      <x:c r="V107" s="34" t="str">
        <x:v>Post-fix focused tests passed: DEF-054</x:v>
      </x:c>
      <x:c r="W107" s="34" t="str">
        <x:v>Config de demurrage pode persistir parcialmente | src/services/__tests__/blDemurrageConfigAtomic.test.ts</x:v>
      </x:c>
    </x:row>
    <x:row r="108" ht="54" customHeight="1">
      <x:c r="A108" s="33" t="str">
        <x:v>US-107</x:v>
      </x:c>
      <x:c r="B108" s="33" t="str">
        <x:v>manifesto-edi</x:v>
      </x:c>
      <x:c r="C108" s="33" t="str">
        <x:v>B/L</x:v>
      </x:c>
      <x:c r="D108" s="33" t="str">
        <x:v>abrir invoice ativa e carregar Histórico</x:v>
      </x:c>
      <x:c r="E108" s="33" t="str">
        <x:v>Usuário interno</x:v>
      </x:c>
      <x:c r="F108" s="34" t="str">
        <x:v>Como usuário interno, quero abrir invoice ativa e carregar histórico para concluir o objetivo operacional descrito pela interface.</x:v>
      </x:c>
      <x:c r="G108" s="34" t="str">
        <x:v>Ao abrir invoice ativa e carregar histórico, o sistema deve executar Link para /faturamento?invoice=&lt;id&gt;; useInfiniteQuery chama bl_timeline em páginas de 50. Persistência esperada: Leitura de invoices e audit_logs resolvidos pela RPC. Resultado observável: queryKeys.invoices.links([blId]); queryKeys.bls.timeline(blId). Em falha: Histórico sem evento mostra vazio; falha da RPC não tem estado de erro dedicado na aba.</x:v>
      </x:c>
      <x:c r="H108" s="34" t="str">
        <x:v>B/L válido</x:v>
      </x:c>
      <x:c r="I108" s="34" t="str">
        <x:v>BlFaturamentoTab / BlHistoricoTab</x:v>
      </x:c>
      <x:c r="J108" s="34" t="str">
        <x:v>Link para /faturamento?invoice=&lt;id&gt;; useInfiniteQuery chama bl_timeline em páginas de 50</x:v>
      </x:c>
      <x:c r="K108" s="34" t="str">
        <x:v>Leitura de invoices e audit_logs resolvidos pela RPC</x:v>
      </x:c>
      <x:c r="L108" s="34" t="str">
        <x:v>queryKeys.invoices.links([blId]); queryKeys.bls.timeline(blId)</x:v>
      </x:c>
      <x:c r="M108" s="34" t="str">
        <x:v>Histórico sem evento mostra vazio; falha da RPC não tem estado de erro dedicado na aba</x:v>
      </x:c>
      <x:c r="N108" s="34" t="str">
        <x:v>src/components/bl/BlFaturamentoTab.tsx; src/hooks/useBlTimeline.ts; src/services/blTimeline.ts; supabase/migrations/20260619190144_bl_timeline_rpc.sql</x:v>
      </x:c>
      <x:c r="O108" s="34" t="str">
        <x:v>docs/modules/manifesto-edi.md</x:v>
      </x:c>
      <x:c r="P108" s="34" t="str">
        <x:v>Runtime</x:v>
      </x:c>
      <x:c r="Q108" s="34" t="str">
        <x:v>Blocked</x:v>
      </x:c>
      <x:c r="R108" s="34" t="str"/>
      <x:c r="S108" s="34" t="str">
        <x:v>Not Needed</x:v>
      </x:c>
      <x:c r="T108" s="34" t="str">
        <x:v>Not Applicable</x:v>
      </x:c>
      <x:c r="U108" s="34" t="str">
        <x:v>Passed</x:v>
      </x:c>
      <x:c r="V108" s="34" t="str">
        <x:v>Component behavior tests validate the invoice query link, timeline rendering and next-page action.</x:v>
      </x:c>
      <x:c r="W108" s="34" t="str">
        <x:v>src/components/bl/__tests__/BlBillingHistory.behavior.test.tsx</x:v>
      </x:c>
    </x:row>
    <x:row r="109" ht="54" customHeight="1">
      <x:c r="A109" s="33" t="str">
        <x:v>US-108</x:v>
      </x:c>
      <x:c r="B109" s="33" t="str">
        <x:v>manifesto-edi</x:v>
      </x:c>
      <x:c r="C109" s="33" t="str">
        <x:v>/carga-solta</x:v>
      </x:c>
      <x:c r="D109" s="33" t="str">
        <x:v>parse/preview/import BB</x:v>
      </x:c>
      <x:c r="E109" s="33" t="str">
        <x:v>Usuário interno</x:v>
      </x:c>
      <x:c r="F109" s="34" t="str">
        <x:v>Como usuário interno, quero parse/preview/import bb para concluir o objetivo operacional descrito pela interface.</x:v>
      </x:c>
      <x:c r="G109" s="34" t="str">
        <x:v>Ao parse/preview/import bb, o sistema deve executar Parser suporta três layouts; service filtra B/Ls incompatíveis e envia lote, B/Ls, itens e erros para import_breakbulk_manifest_transactional; taxas são disparadas depois do commit. Persistência esperada: RPC compõe import_manifest_transactional, campos BB, bl_breakbulk_items e review gate em uma transação. Resultado observável: Página invalida ['bls'], ['voyages'], ['port-options']; ação rápida invalida também Line-Up. Em falha: B/L existente como container é rejeitado; qualquer falha central reverte batch, B/Ls, itens e erros.</x:v>
      </x:c>
      <x:c r="H109" s="34" t="str">
        <x:v>Viagem, usuário e arquivo válido</x:v>
      </x:c>
      <x:c r="I109" s="34" t="str">
        <x:v>Modal em CargaSolta ou VoyageImportActions</x:v>
      </x:c>
      <x:c r="J109" s="34" t="str">
        <x:v>Parser suporta três layouts; service filtra B/Ls incompatíveis e envia lote, B/Ls, itens e erros para import_breakbulk_manifest_transactional; taxas são disparadas depois do commit</x:v>
      </x:c>
      <x:c r="K109" s="34" t="str">
        <x:v>RPC compõe import_manifest_transactional, campos BB, bl_breakbulk_items e review gate em uma transação</x:v>
      </x:c>
      <x:c r="L109" s="34" t="str">
        <x:v>Página invalida ['bls'], ['voyages'], ['port-options']; ação rápida invalida também Line-Up</x:v>
      </x:c>
      <x:c r="M109" s="34" t="str">
        <x:v>B/L existente como container é rejeitado; qualquer falha central reverte batch, B/Ls, itens e erros</x:v>
      </x:c>
      <x:c r="N109" s="34" t="str">
        <x:v>src/services/breakbulkImport.ts; supabase/migrations/20260623095500_import_breakbulk_manifest_transactional.sql</x:v>
      </x:c>
      <x:c r="O109" s="34" t="str">
        <x:v>docs/modules/manifesto-edi.md</x:v>
      </x:c>
      <x:c r="P109" s="34" t="str">
        <x:v>Runtime</x:v>
      </x:c>
      <x:c r="Q109" s="34" t="str">
        <x:v>Failed</x:v>
      </x:c>
      <x:c r="R109" s="34" t="str">
        <x:v>DEF-052</x:v>
      </x:c>
      <x:c r="S109" s="34" t="str">
        <x:v>Fixed</x:v>
      </x:c>
      <x:c r="T109" s="34" t="str">
        <x:v>Passed</x:v>
      </x:c>
      <x:c r="U109" s="34" t="str">
        <x:v>Passed</x:v>
      </x:c>
      <x:c r="V109" s="34" t="str">
        <x:v>Post-fix focused tests passed: DEF-052</x:v>
      </x:c>
      <x:c r="W109" s="34" t="str">
        <x:v>Importacao de carga solta pode deixar lote parcial em processing | breakbulkImport.test.ts; breakbulkImportAtomicMigration.test.ts; PostgreSQL breakbulk-import-atomic</x:v>
      </x:c>
    </x:row>
    <x:row r="110" ht="54" customHeight="1">
      <x:c r="A110" s="33" t="str">
        <x:v>US-109</x:v>
      </x:c>
      <x:c r="B110" s="33" t="str">
        <x:v>manifesto-edi</x:v>
      </x:c>
      <x:c r="C110" s="33" t="str">
        <x:v>/containers</x:v>
      </x:c>
      <x:c r="D110" s="33" t="str">
        <x:v>importar datas</x:v>
      </x:c>
      <x:c r="E110" s="33" t="str">
        <x:v>Usuário interno</x:v>
      </x:c>
      <x:c r="F110" s="34" t="str">
        <x:v>Como usuário interno, quero importar datas para concluir o objetivo operacional descrito pela interface.</x:v>
      </x:c>
      <x:c r="G110" s="34" t="str">
        <x:v>Ao importar datas, o sistema deve executar Deduplica por B/L+container, atualiza datas/status e verifica todos retornados. Persistência esperada: bl_containers; possível demurrage_invoices e emissão. Resultado observável: Invalida ['demurrage-containers'], ['demurrage-invoices'], ['bl-detail']. Em falha: Container ausente conta missing; falha de update/emissão interrompe; import em lote não grava auditoria própria.</x:v>
      </x:c>
      <x:c r="H110" s="34" t="str">
        <x:v>Linhas com B/L, container e descarga; devolução ≥ descarga</x:v>
      </x:c>
      <x:c r="I110" s="34" t="str">
        <x:v>ContainerDatesImportModal</x:v>
      </x:c>
      <x:c r="J110" s="34" t="str">
        <x:v>Deduplica por B/L+container, atualiza datas/status e verifica todos retornados</x:v>
      </x:c>
      <x:c r="K110" s="34" t="str">
        <x:v>bl_containers; possível demurrage_invoices e emissão</x:v>
      </x:c>
      <x:c r="L110" s="34" t="str">
        <x:v>Invalida ['demurrage-containers'], ['demurrage-invoices'], ['bl-detail']</x:v>
      </x:c>
      <x:c r="M110" s="34" t="str">
        <x:v>Container ausente conta missing; falha de update/emissão interrompe; import em lote não grava auditoria própria</x:v>
      </x:c>
      <x:c r="N110" s="34" t="str">
        <x:v>src/components/shared/ContainerDatesImportModal.tsx; src/services/containerDatesImport.ts</x:v>
      </x:c>
      <x:c r="O110" s="34" t="str">
        <x:v>docs/modules/manifesto-edi.md</x:v>
      </x:c>
      <x:c r="P110" s="34" t="str">
        <x:v>Runtime</x:v>
      </x:c>
      <x:c r="Q110" s="34" t="str">
        <x:v>Failed</x:v>
      </x:c>
      <x:c r="R110" s="34" t="str">
        <x:v>DEF-038</x:v>
      </x:c>
      <x:c r="S110" s="34" t="str">
        <x:v>Fixed</x:v>
      </x:c>
      <x:c r="T110" s="34" t="str">
        <x:v>Passed</x:v>
      </x:c>
      <x:c r="U110" s="34" t="str">
        <x:v>Passed</x:v>
      </x:c>
      <x:c r="V110" s="34" t="str">
        <x:v>Post-fix focused tests passed: DEF-038</x:v>
      </x:c>
      <x:c r="W110" s="34" t="str">
        <x:v>Importação em lote de datas não aparece no Histórico do B/L | containerDatesImport.test.ts; container-dates-audit-and-manual-preservation</x:v>
      </x:c>
    </x:row>
    <x:row r="111" ht="54" customHeight="1">
      <x:c r="A111" s="33" t="str">
        <x:v>US-110</x:v>
      </x:c>
      <x:c r="B111" s="33" t="str">
        <x:v>manifesto-edi</x:v>
      </x:c>
      <x:c r="C111" s="33" t="str">
        <x:v>/containers</x:v>
      </x:c>
      <x:c r="D111" s="33" t="str">
        <x:v>importar IMO/OOG</x:v>
      </x:c>
      <x:c r="E111" s="33" t="str">
        <x:v>Usuário interno</x:v>
      </x:c>
      <x:c r="F111" s="34" t="str">
        <x:v>Como usuário interno, quero importar imo/oog para concluir o objetivo operacional descrito pela interface.</x:v>
      </x:c>
      <x:c r="G111" s="34" t="str">
        <x:v>Ao importar imo/oog, o sistema deve executar Deduplica, atualiza todos os matches e grava uma auditoria por container alterado. Persistência esperada: bl_containers, audit_logs. Resultado observável: Invalida ['containers'], ['bls'], ['bl-summary'], ['dashboard'], ['voyages']. Em falha: Valor IMO/OOG inválido; sem match conta missing; auditoria falha junto do fluxo.</x:v>
      </x:c>
      <x:c r="H111" s="34" t="str">
        <x:v>Planilha válida; match B/L+container</x:v>
      </x:c>
      <x:c r="I111" s="34" t="str">
        <x:v>Modal em Containers</x:v>
      </x:c>
      <x:c r="J111" s="34" t="str">
        <x:v>Deduplica, atualiza todos os matches e grava uma auditoria por container alterado</x:v>
      </x:c>
      <x:c r="K111" s="34" t="str">
        <x:v>bl_containers, audit_logs</x:v>
      </x:c>
      <x:c r="L111" s="34" t="str">
        <x:v>Invalida ['containers'], ['bls'], ['bl-summary'], ['dashboard'], ['voyages']</x:v>
      </x:c>
      <x:c r="M111" s="34" t="str">
        <x:v>Valor IMO/OOG inválido; sem match conta missing; auditoria falha junto do fluxo</x:v>
      </x:c>
      <x:c r="N111" s="34" t="str">
        <x:v>src/pages/Containers.tsx; src/services/containerFlagsImport.ts</x:v>
      </x:c>
      <x:c r="O111" s="34" t="str">
        <x:v>docs/modules/manifesto-edi.md</x:v>
      </x:c>
      <x:c r="P111" s="34" t="str">
        <x:v>Runtime</x:v>
      </x:c>
      <x:c r="Q111" s="34" t="str">
        <x:v>Blocked</x:v>
      </x:c>
      <x:c r="R111" s="34" t="str"/>
      <x:c r="S111" s="34" t="str">
        <x:v>Not Needed</x:v>
      </x:c>
      <x:c r="T111" s="34" t="str">
        <x:v>Not Applicable</x:v>
      </x:c>
      <x:c r="U111" s="34" t="str">
        <x:v>Passed</x:v>
      </x:c>
      <x:c r="V111" s="34" t="str">
        <x:v>Parser/service tests validate normalized flags, matching, missing rows and audited updates.</x:v>
      </x:c>
      <x:c r="W111" s="34" t="str">
        <x:v>src/services/__tests__/containerFlagsImport.test.ts</x:v>
      </x:c>
    </x:row>
    <x:row r="112" ht="54" customHeight="1">
      <x:c r="A112" s="33" t="str">
        <x:v>US-111</x:v>
      </x:c>
      <x:c r="B112" s="33" t="str">
        <x:v>manifesto-edi</x:v>
      </x:c>
      <x:c r="C112" s="33" t="str">
        <x:v>/containers</x:v>
      </x:c>
      <x:c r="D112" s="33" t="str">
        <x:v>excluir</x:v>
      </x:c>
      <x:c r="E112" s="33" t="str">
        <x:v>Usuário interno</x:v>
      </x:c>
      <x:c r="F112" s="34" t="str">
        <x:v>Como usuário interno, quero excluir para concluir o objetivo operacional descrito pela interface.</x:v>
      </x:c>
      <x:c r="G112" s="34" t="str">
        <x:v>Ao excluir, o sistema deve executar Pré-checagem; remove veículos antes de containers. Persistência esperada: vehicles, bl_containers; cascatas; auditoria de delete. Resultado observável: Invalida ['containers'], ['bls'], ['vehicles'], ['bl-detail']. Em falha: Bloqueadores fiscais; hard delete irreversível.</x:v>
      </x:c>
      <x:c r="H112" s="34" t="str">
        <x:v>Admin; sem taxa local nem item de demurrage</x:v>
      </x:c>
      <x:c r="I112" s="34" t="str">
        <x:v>runContainerDelete</x:v>
      </x:c>
      <x:c r="J112" s="34" t="str">
        <x:v>Pré-checagem; remove veículos antes de containers</x:v>
      </x:c>
      <x:c r="K112" s="34" t="str">
        <x:v>vehicles, bl_containers; cascatas; auditoria de delete</x:v>
      </x:c>
      <x:c r="L112" s="34" t="str">
        <x:v>Invalida ['containers'], ['bls'], ['vehicles'], ['bl-detail']</x:v>
      </x:c>
      <x:c r="M112" s="34" t="str">
        <x:v>Bloqueadores fiscais; hard delete irreversível</x:v>
      </x:c>
      <x:c r="N112" s="34" t="str">
        <x:v>src/pages/Containers.tsx; src/services/containers.ts</x:v>
      </x:c>
      <x:c r="O112" s="34" t="str">
        <x:v>docs/modules/manifesto-edi.md</x:v>
      </x:c>
      <x:c r="P112" s="34" t="str">
        <x:v>Runtime</x:v>
      </x:c>
      <x:c r="Q112" s="34" t="str">
        <x:v>Blocked</x:v>
      </x:c>
      <x:c r="R112" s="34" t="str"/>
      <x:c r="S112" s="34" t="str">
        <x:v>Not Needed</x:v>
      </x:c>
      <x:c r="T112" s="34" t="str">
        <x:v>Not Applicable</x:v>
      </x:c>
      <x:c r="U112" s="34" t="str">
        <x:v>Passed</x:v>
      </x:c>
      <x:c r="V112" s="34" t="str">
        <x:v>Service tests validate charge/demurrage dependency blocking, vehicle-first deletion and database error propagation.</x:v>
      </x:c>
      <x:c r="W112" s="34" t="str">
        <x:v>src/services/__tests__/containers.delete.test.ts</x:v>
      </x:c>
    </x:row>
    <x:row r="113" ht="54" customHeight="1">
      <x:c r="A113" s="33" t="str">
        <x:v>US-112</x:v>
      </x:c>
      <x:c r="B113" s="33" t="str">
        <x:v>manifesto-edi</x:v>
      </x:c>
      <x:c r="C113" s="33" t="str">
        <x:v>/veiculos</x:v>
      </x:c>
      <x:c r="D113" s="33" t="str">
        <x:v>parse/preview/import</x:v>
      </x:c>
      <x:c r="E113" s="33" t="str">
        <x:v>Usuário interno</x:v>
      </x:c>
      <x:c r="F113" s="34" t="str">
        <x:v>Como usuário interno, quero parse/preview/import para concluir o objetivo operacional descrito pela interface.</x:v>
      </x:c>
      <x:c r="G113" s="34" t="str">
        <x:v>Ao parse/preview/import, o sistema deve executar Valida chassi/B/L/container; RPC insere lote; depois cancela invoices ativas e recalcula taxas por B/L. Persistência esperada: Insert em vehicles; pós-processamento em invoices e charge_calculations. Resultado observável: Página invalida ['vehicles'], ['vehicle-stats'], ['voyage-vehicle-stats'], ['bl-detail']; ação rápida também ['voyages'] e Line-Up. Em falha: Duplicidade, B/L fora da viagem, container/tipo/lacre divergente; insert pode ter sucesso e pós-processamento financeiro falhar, retornando erro por B/L.</x:v>
      </x:c>
      <x:c r="H113" s="34" t="str">
        <x:v>Viagem; linhas válidas e match não ambíguo</x:v>
      </x:c>
      <x:c r="I113" s="34" t="str">
        <x:v>Modal em Veiculos ou VoyageImportActions</x:v>
      </x:c>
      <x:c r="J113" s="34" t="str">
        <x:v>Valida chassi/B/L/container; RPC insere lote; depois cancela invoices ativas e recalcula taxas por B/L</x:v>
      </x:c>
      <x:c r="K113" s="34" t="str">
        <x:v>Insert em vehicles; pós-processamento em invoices e charge_calculations</x:v>
      </x:c>
      <x:c r="L113" s="34" t="str">
        <x:v>Página invalida ['vehicles'], ['vehicle-stats'], ['voyage-vehicle-stats'], ['bl-detail']; ação rápida também ['voyages'] e Line-Up</x:v>
      </x:c>
      <x:c r="M113" s="34" t="str">
        <x:v>Duplicidade, B/L fora da viagem, container/tipo/lacre divergente; insert pode ter sucesso e pós-processamento financeiro falhar, retornando erro por B/L</x:v>
      </x:c>
      <x:c r="N113" s="34" t="str">
        <x:v>src/services/vehicleImport.ts; supabase/migrations/20260614135728_fix_anon_executable_import_rpcs.sql</x:v>
      </x:c>
      <x:c r="O113" s="34" t="str">
        <x:v>docs/modules/manifesto-edi.md</x:v>
      </x:c>
      <x:c r="P113" s="34" t="str">
        <x:v>Runtime</x:v>
      </x:c>
      <x:c r="Q113" s="34" t="str">
        <x:v>Blocked</x:v>
      </x:c>
      <x:c r="R113" s="34" t="str"/>
      <x:c r="S113" s="34" t="str">
        <x:v>Not Needed</x:v>
      </x:c>
      <x:c r="T113" s="34" t="str">
        <x:v>Not Applicable</x:v>
      </x:c>
      <x:c r="U113" s="34" t="str">
        <x:v>Passed</x:v>
      </x:c>
      <x:c r="V113" s="34" t="str">
        <x:v>Vehicle parser/import tests validate system, COSCO and Chinese layouts, ambiguity guards and financial post-processing.</x:v>
      </x:c>
      <x:c r="W113" s="34" t="str">
        <x:v>src/services/__tests__/vehicleImport.test.ts</x:v>
      </x:c>
    </x:row>
    <x:row r="114" ht="54" customHeight="1">
      <x:c r="A114" s="33" t="str">
        <x:v>US-113</x:v>
      </x:c>
      <x:c r="B114" s="33" t="str">
        <x:v>manifesto-edi</x:v>
      </x:c>
      <x:c r="C114" s="33" t="str">
        <x:v>/veiculos</x:v>
      </x:c>
      <x:c r="D114" s="33" t="str">
        <x:v>excluir</x:v>
      </x:c>
      <x:c r="E114" s="33" t="str">
        <x:v>Usuário interno</x:v>
      </x:c>
      <x:c r="F114" s="34" t="str">
        <x:v>Como usuário interno, quero excluir para concluir o objetivo operacional descrito pela interface.</x:v>
      </x:c>
      <x:c r="G114" s="34" t="str">
        <x:v>Ao excluir, o sistema deve executar deleteVehicles por IDs. Persistência esperada: vehicles + auditoria de exclusão. Resultado observável: Mesmas quatro invalidações da página de veículos. Em falha: RLS/DB; hard delete irreversível.</x:v>
      </x:c>
      <x:c r="H114" s="34" t="str">
        <x:v>Admin; confirmação</x:v>
      </x:c>
      <x:c r="I114" s="34" t="str">
        <x:v>runDelete</x:v>
      </x:c>
      <x:c r="J114" s="34" t="str">
        <x:v>deleteVehicles por IDs</x:v>
      </x:c>
      <x:c r="K114" s="34" t="str">
        <x:v>vehicles + auditoria de exclusão</x:v>
      </x:c>
      <x:c r="L114" s="34" t="str">
        <x:v>Mesmas quatro invalidações da página de veículos</x:v>
      </x:c>
      <x:c r="M114" s="34" t="str">
        <x:v>RLS/DB; hard delete irreversível</x:v>
      </x:c>
      <x:c r="N114" s="34" t="str">
        <x:v>src/pages/Veiculos.tsx; src/services/vehicles.ts</x:v>
      </x:c>
      <x:c r="O114" s="34" t="str">
        <x:v>docs/modules/manifesto-edi.md</x:v>
      </x:c>
      <x:c r="P114" s="34" t="str">
        <x:v>Runtime</x:v>
      </x:c>
      <x:c r="Q114" s="34" t="str">
        <x:v>Blocked</x:v>
      </x:c>
      <x:c r="R114" s="34" t="str"/>
      <x:c r="S114" s="34" t="str">
        <x:v>Not Needed</x:v>
      </x:c>
      <x:c r="T114" s="34" t="str">
        <x:v>Not Applicable</x:v>
      </x:c>
      <x:c r="U114" s="34" t="str">
        <x:v>Passed</x:v>
      </x:c>
      <x:c r="V114" s="34" t="str">
        <x:v>Service tests validate selected-ID deletion, empty selection behavior, audit logging and database error propagation.</x:v>
      </x:c>
      <x:c r="W114" s="34" t="str">
        <x:v>src/services/__tests__/vehicles.delete.test.ts</x:v>
      </x:c>
    </x:row>
    <x:row r="115" ht="54" customHeight="1">
      <x:c r="A115" s="33" t="str">
        <x:v>US-114</x:v>
      </x:c>
      <x:c r="B115" s="33" t="str">
        <x:v>manifesto-edi</x:v>
      </x:c>
      <x:c r="C115" s="33" t="str">
        <x:v>/baplie</x:v>
      </x:c>
      <x:c r="D115" s="33" t="str">
        <x:v>importar ou substituir staging</x:v>
      </x:c>
      <x:c r="E115" s="33" t="str">
        <x:v>Usuário interno</x:v>
      </x:c>
      <x:c r="F115" s="34" t="str">
        <x:v>Como usuário interno, quero importar ou substituir staging para concluir o objetivo operacional descrito pela interface.</x:v>
      </x:c>
      <x:c r="G115" s="34" t="str">
        <x:v>Ao importar ou substituir staging, o sistema deve executar Parser EDIFACT; filtro opcional de POD; RPC apaga staging da viagem e insere o novo lote na mesma transação. Persistência esperada: baplie_containers. Resultado observável: Invalida ['baplie-staging', voyageId], ['baplie-reconciliation', voyageId]. Em falha: Sem containers selecionados; parse inválido; 42501 para não-admin.</x:v>
      </x:c>
      <x:c r="H115" s="34" t="str">
        <x:v>Viagem, usuário; RPC atual exige admin</x:v>
      </x:c>
      <x:c r="I115" s="34" t="str">
        <x:v>BaplieUploadModal / ação rápida</x:v>
      </x:c>
      <x:c r="J115" s="34" t="str">
        <x:v>Parser EDIFACT; filtro opcional de POD; RPC apaga staging da viagem e insere o novo lote na mesma transação</x:v>
      </x:c>
      <x:c r="K115" s="34" t="str">
        <x:v>baplie_containers</x:v>
      </x:c>
      <x:c r="L115" s="34" t="str">
        <x:v>Invalida ['baplie-staging', voyageId], ['baplie-reconciliation', voyageId]</x:v>
      </x:c>
      <x:c r="M115" s="34" t="str">
        <x:v>Sem containers selecionados; parse inválido; 42501 para não-admin</x:v>
      </x:c>
      <x:c r="N115" s="34" t="str">
        <x:v>src/pages/Baplie.tsx; src/services/baplieParser.ts; src/services/baplieImport.ts; supabase/migrations/20260614135728_fix_anon_executable_import_rpcs.sql</x:v>
      </x:c>
      <x:c r="O115" s="34" t="str">
        <x:v>docs/modules/manifesto-edi.md</x:v>
      </x:c>
      <x:c r="P115" s="34" t="str">
        <x:v>Runtime</x:v>
      </x:c>
      <x:c r="Q115" s="34" t="str">
        <x:v>Failed</x:v>
      </x:c>
      <x:c r="R115" s="34" t="str">
        <x:v>DEF-014</x:v>
      </x:c>
      <x:c r="S115" s="34" t="str">
        <x:v>Fixed</x:v>
      </x:c>
      <x:c r="T115" s="34" t="str">
        <x:v>Passed</x:v>
      </x:c>
      <x:c r="U115" s="34" t="str">
        <x:v>Passed</x:v>
      </x:c>
      <x:c r="V115" s="34" t="str">
        <x:v>Post-fix focused tests passed: DEF-014</x:v>
      </x:c>
      <x:c r="W115" s="34" t="str">
        <x:v>Ações de importação Baplie aparecem para perfil que o banco rejeita | baplie parser/import tests; transactional_baplie_vehicle_imports migration</x:v>
      </x:c>
    </x:row>
    <x:row r="116" ht="54" customHeight="1">
      <x:c r="A116" s="33" t="str">
        <x:v>US-115</x:v>
      </x:c>
      <x:c r="B116" s="33" t="str">
        <x:v>manifesto-edi</x:v>
      </x:c>
      <x:c r="C116" s="33" t="str">
        <x:v>/baplie</x:v>
      </x:c>
      <x:c r="D116" s="33" t="str">
        <x:v>aplicar atributo físico</x:v>
      </x:c>
      <x:c r="E116" s="33" t="str">
        <x:v>Usuário interno</x:v>
      </x:c>
      <x:c r="F116" s="34" t="str">
        <x:v>Como usuário interno, quero aplicar atributo físico para concluir o objetivo operacional descrito pela interface.</x:v>
      </x:c>
      <x:c r="G116" s="34" t="str">
        <x:v>Ao aplicar atributo físico, o sistema deve executar applyBaplieAttribute atualiza um campo e grava auditoria. Persistência esperada: bl_containers, audit_logs. Resultado observável: Página invalida apenas ['baplie-reconciliation', voyageId]. Em falha: Update ou auditoria pode falhar; ações em lote são sequenciais, não atômicas.</x:v>
      </x:c>
      <x:c r="H116" s="34" t="str">
        <x:v>Divergência em is_imo, imo_class ou un_number</x:v>
      </x:c>
      <x:c r="I116" s="34" t="str">
        <x:v>ReconciliacaoSection</x:v>
      </x:c>
      <x:c r="J116" s="34" t="str">
        <x:v>applyBaplieAttribute atualiza um campo e grava auditoria</x:v>
      </x:c>
      <x:c r="K116" s="34" t="str">
        <x:v>bl_containers, audit_logs</x:v>
      </x:c>
      <x:c r="L116" s="34" t="str">
        <x:v>Página invalida apenas ['baplie-reconciliation', voyageId]</x:v>
      </x:c>
      <x:c r="M116" s="34" t="str">
        <x:v>Update ou auditoria pode falhar; ações em lote são sequenciais, não atômicas</x:v>
      </x:c>
      <x:c r="N116" s="34" t="str">
        <x:v>src/pages/Baplie.tsx; src/services/baplieReconciliation.ts</x:v>
      </x:c>
      <x:c r="O116" s="34" t="str">
        <x:v>docs/modules/manifesto-edi.md</x:v>
      </x:c>
      <x:c r="P116" s="34" t="str">
        <x:v>Runtime</x:v>
      </x:c>
      <x:c r="Q116" s="34" t="str">
        <x:v>Failed</x:v>
      </x:c>
      <x:c r="R116" s="34" t="str">
        <x:v>DEF-020</x:v>
      </x:c>
      <x:c r="S116" s="34" t="str">
        <x:v>Fixed</x:v>
      </x:c>
      <x:c r="T116" s="34" t="str">
        <x:v>Passed</x:v>
      </x:c>
      <x:c r="U116" s="34" t="str">
        <x:v>Passed</x:v>
      </x:c>
      <x:c r="V116" s="34" t="str">
        <x:v>Post-fix focused tests passed: DEF-020</x:v>
      </x:c>
      <x:c r="W116" s="34" t="str">
        <x:v>Aplicar decisão Baplie deixa telas dependentes com dados obsoletos | baplieReconciliation.test.ts; baplieInvalidation.test.ts</x:v>
      </x:c>
    </x:row>
    <x:row r="117" ht="54" customHeight="1">
      <x:c r="A117" s="33" t="str">
        <x:v>US-116</x:v>
      </x:c>
      <x:c r="B117" s="33" t="str">
        <x:v>manifesto-edi</x:v>
      </x:c>
      <x:c r="C117" s="33" t="str">
        <x:v>/baplie</x:v>
      </x:c>
      <x:c r="D117" s="33" t="str">
        <x:v>manter valor do manifesto</x:v>
      </x:c>
      <x:c r="E117" s="33" t="str">
        <x:v>Usuário interno</x:v>
      </x:c>
      <x:c r="F117" s="34" t="str">
        <x:v>Como usuário interno, quero manter valor do manifesto para concluir o objetivo operacional descrito pela interface.</x:v>
      </x:c>
      <x:c r="G117" s="34" t="str">
        <x:v>Ao manter valor do manifesto, o sistema deve executar Upsert de resolução pela combinação de viagem, container, campo e valores; audita decisão. Persistência esperada: baplie_reconciliation_resolutions, audit_logs. Resultado observável: Invalida apenas ['baplie-reconciliation', voyageId]. Em falha: Mudança posterior de qualquer valor cria nova combinação e pode reabrir divergência.</x:v>
      </x:c>
      <x:c r="H117" s="34" t="str">
        <x:v>Divergência aberta</x:v>
      </x:c>
      <x:c r="I117" s="34" t="str">
        <x:v>ReconciliacaoSection</x:v>
      </x:c>
      <x:c r="J117" s="34" t="str">
        <x:v>Upsert de resolução pela combinação de viagem, container, campo e valores; audita decisão</x:v>
      </x:c>
      <x:c r="K117" s="34" t="str">
        <x:v>baplie_reconciliation_resolutions, audit_logs</x:v>
      </x:c>
      <x:c r="L117" s="34" t="str">
        <x:v>Invalida apenas ['baplie-reconciliation', voyageId]</x:v>
      </x:c>
      <x:c r="M117" s="34" t="str">
        <x:v>Mudança posterior de qualquer valor cria nova combinação e pode reabrir divergência</x:v>
      </x:c>
      <x:c r="N117" s="34" t="str">
        <x:v>src/services/baplieReconciliation.ts; src/services/__tests__/baplieReconciliation.test.ts</x:v>
      </x:c>
      <x:c r="O117" s="34" t="str">
        <x:v>docs/modules/manifesto-edi.md</x:v>
      </x:c>
      <x:c r="P117" s="34" t="str">
        <x:v>Runtime</x:v>
      </x:c>
      <x:c r="Q117" s="34" t="str">
        <x:v>Blocked</x:v>
      </x:c>
      <x:c r="R117" s="34" t="str"/>
      <x:c r="S117" s="34" t="str">
        <x:v>Not Needed</x:v>
      </x:c>
      <x:c r="T117" s="34" t="str">
        <x:v>Not Applicable</x:v>
      </x:c>
      <x:c r="U117" s="34" t="str">
        <x:v>Passed</x:v>
      </x:c>
      <x:c r="V117" s="34" t="str">
        <x:v>Service tests validate durable value-sensitive resolution and audit without mutating the container.</x:v>
      </x:c>
      <x:c r="W117" s="34" t="str">
        <x:v>src/services/__tests__/baplieReconciliation.test.ts</x:v>
      </x:c>
    </x:row>
    <x:row r="118" ht="54" customHeight="1">
      <x:c r="A118" s="33" t="str">
        <x:v>US-117</x:v>
      </x:c>
      <x:c r="B118" s="33" t="str">
        <x:v>manifesto-edi</x:v>
      </x:c>
      <x:c r="C118" s="33" t="str">
        <x:v>/baplie</x:v>
      </x:c>
      <x:c r="D118" s="33" t="str">
        <x:v>importar/substituir/manter vazios</x:v>
      </x:c>
      <x:c r="E118" s="33" t="str">
        <x:v>Usuário interno</x:v>
      </x:c>
      <x:c r="F118" s="34" t="str">
        <x:v>Como usuário interno, quero importar/substituir/manter vazios para concluir o objetivo operacional descrito pela interface.</x:v>
      </x:c>
      <x:c r="G118" s="34" t="str">
        <x:v>Ao importar/substituir/manter vazios, o sistema deve executar RPC lê staging, substitui opcionalmente e cria manifesto/containers na mesma transação; manter não escreve. Persistência esperada: vazios_importacao_manifests, vazios_importacao_containers. Resultado observável: Invalida ['baplie-vazios-manifest', voyageId], staging, reconciliação, ['vazios-importacao'], ['vazios-importacao-stats']. Em falha: Nenhum vazio ou manifesto duplicado sem confirmação de substituição.</x:v>
      </x:c>
      <x:c r="H118" s="34" t="str">
        <x:v>Staging com status='empty'; usuário ativo</x:v>
      </x:c>
      <x:c r="I118" s="34" t="str">
        <x:v>VaziosSection</x:v>
      </x:c>
      <x:c r="J118" s="34" t="str">
        <x:v>RPC lê staging, substitui opcionalmente e cria manifesto/containers na mesma transação; manter não escreve</x:v>
      </x:c>
      <x:c r="K118" s="34" t="str">
        <x:v>vazios_importacao_manifests, vazios_importacao_containers</x:v>
      </x:c>
      <x:c r="L118" s="34" t="str">
        <x:v>Invalida ['baplie-vazios-manifest', voyageId], staging, reconciliação, ['vazios-importacao'], ['vazios-importacao-stats']</x:v>
      </x:c>
      <x:c r="M118" s="34" t="str">
        <x:v>Nenhum vazio ou manifesto duplicado sem confirmação de substituição</x:v>
      </x:c>
      <x:c r="N118" s="34" t="str">
        <x:v>src/pages/Baplie.tsx; src/services/vaziosImportacaoImport.ts; supabase/migrations/20260623111000_import_vazios_transactional.sql</x:v>
      </x:c>
      <x:c r="O118" s="34" t="str">
        <x:v>docs/modules/manifesto-edi.md</x:v>
      </x:c>
      <x:c r="P118" s="34" t="str">
        <x:v>Runtime</x:v>
      </x:c>
      <x:c r="Q118" s="34" t="str">
        <x:v>Failed</x:v>
      </x:c>
      <x:c r="R118" s="34" t="str">
        <x:v>DEF-055</x:v>
      </x:c>
      <x:c r="S118" s="34" t="str">
        <x:v>Fixed</x:v>
      </x:c>
      <x:c r="T118" s="34" t="str">
        <x:v>Passed</x:v>
      </x:c>
      <x:c r="U118" s="34" t="str">
        <x:v>Passed</x:v>
      </x:c>
      <x:c r="V118" s="34" t="str">
        <x:v>Post-fix focused tests passed: DEF-055</x:v>
      </x:c>
      <x:c r="W118" s="34" t="str">
        <x:v>Substituicao de vazios Baplie pode apagar o manifesto valido | src/services/__tests__/vaziosImportsAtomic.test.ts</x:v>
      </x:c>
    </x:row>
    <x:row r="119" ht="54" customHeight="1">
      <x:c r="A119" s="33" t="str">
        <x:v>US-118</x:v>
      </x:c>
      <x:c r="B119" s="33" t="str">
        <x:v>manifesto-edi</x:v>
      </x:c>
      <x:c r="C119" s="33" t="str">
        <x:v>/vazios-importacao</x:v>
      </x:c>
      <x:c r="D119" s="33" t="str">
        <x:v>importar planilha</x:v>
      </x:c>
      <x:c r="E119" s="33" t="str">
        <x:v>Usuário interno</x:v>
      </x:c>
      <x:c r="F119" s="34" t="str">
        <x:v>Como usuário interno, quero importar planilha para concluir o objetivo operacional descrito pela interface.</x:v>
      </x:c>
      <x:c r="G119" s="34" t="str">
        <x:v>Ao importar planilha, o sistema deve executar RPC cria manifesto e containers na mesma transação. Persistência esperada: vazios_importacao_manifests, vazios_importacao_containers. Resultado observável: Página invalida containers/manifests, ['voyages'] e Line-Up; ação rápida invalida só voyages/Line-Up. Em falha: Reimport comum cria novo manifesto.</x:v>
      </x:c>
      <x:c r="H119" s="34" t="str">
        <x:v>Viagem, usuário e preview</x:v>
      </x:c>
      <x:c r="I119" s="34" t="str">
        <x:v>Modal da página ou ação rápida</x:v>
      </x:c>
      <x:c r="J119" s="34" t="str">
        <x:v>RPC cria manifesto e containers na mesma transação</x:v>
      </x:c>
      <x:c r="K119" s="34" t="str">
        <x:v>vazios_importacao_manifests, vazios_importacao_containers</x:v>
      </x:c>
      <x:c r="L119" s="34" t="str">
        <x:v>Página invalida containers/manifests, ['voyages'] e Line-Up; ação rápida invalida só voyages/Line-Up</x:v>
      </x:c>
      <x:c r="M119" s="34" t="str">
        <x:v>Reimport comum cria novo manifesto</x:v>
      </x:c>
      <x:c r="N119" s="34" t="str">
        <x:v>src/pages/VaziosImportacao.tsx; src/services/vaziosImportacaoImport.ts; supabase/migrations/20260623111000_import_vazios_transactional.sql</x:v>
      </x:c>
      <x:c r="O119" s="34" t="str">
        <x:v>docs/modules/manifesto-edi.md</x:v>
      </x:c>
      <x:c r="P119" s="34" t="str">
        <x:v>Runtime</x:v>
      </x:c>
      <x:c r="Q119" s="34" t="str">
        <x:v>Blocked</x:v>
      </x:c>
      <x:c r="R119" s="34" t="str"/>
      <x:c r="S119" s="34" t="str">
        <x:v>Not Needed</x:v>
      </x:c>
      <x:c r="T119" s="34" t="str">
        <x:v>Not Applicable</x:v>
      </x:c>
      <x:c r="U119" s="34" t="str">
        <x:v>Passed</x:v>
      </x:c>
      <x:c r="V119" s="34" t="str">
        <x:v>Vazios import parser tests validate header aliases, normalized tare, invalid ISO handling and empty input.</x:v>
      </x:c>
      <x:c r="W119" s="34" t="str">
        <x:v>src/services/__tests__/vaziosImportacaoImport.test.ts</x:v>
      </x:c>
    </x:row>
    <x:row r="120" ht="54" customHeight="1">
      <x:c r="A120" s="33" t="str">
        <x:v>US-119</x:v>
      </x:c>
      <x:c r="B120" s="33" t="str">
        <x:v>manifesto-edi</x:v>
      </x:c>
      <x:c r="C120" s="33" t="str">
        <x:v>/embarquevazios</x:v>
      </x:c>
      <x:c r="D120" s="33" t="str">
        <x:v>parse/preview/import booking</x:v>
      </x:c>
      <x:c r="E120" s="33" t="str">
        <x:v>Usuário interno</x:v>
      </x:c>
      <x:c r="F120" s="34" t="str">
        <x:v>Como usuário interno, quero parse/preview/import booking para concluir o objetivo operacional descrito pela interface.</x:v>
      </x:c>
      <x:c r="G120" s="34" t="str">
        <x:v>Ao parse/preview/import booking, o sistema deve executar RPC cria manifesto e bookings na mesma transação. Persistência esperada: vazios_manifests, vazios_bookings. Resultado observável: Invalida ['vazios-bookings'], ['voyages']. Em falha: Idempotência permanece interna ao novo manifesto.</x:v>
      </x:c>
      <x:c r="H120" s="34" t="str">
        <x:v>Viagem, usuário e booking válido</x:v>
      </x:c>
      <x:c r="I120" s="34" t="str">
        <x:v>Modal da página ou ação rápida</x:v>
      </x:c>
      <x:c r="J120" s="34" t="str">
        <x:v>RPC cria manifesto e bookings na mesma transação</x:v>
      </x:c>
      <x:c r="K120" s="34" t="str">
        <x:v>vazios_manifests, vazios_bookings</x:v>
      </x:c>
      <x:c r="L120" s="34" t="str">
        <x:v>Invalida ['vazios-bookings'], ['voyages']</x:v>
      </x:c>
      <x:c r="M120" s="34" t="str">
        <x:v>Idempotência permanece interna ao novo manifesto</x:v>
      </x:c>
      <x:c r="N120" s="34" t="str">
        <x:v>src/pages/EmbarqueVazios.tsx; src/services/vaziosImport.ts; supabase/migrations/20260623111000_import_vazios_transactional.sql</x:v>
      </x:c>
      <x:c r="O120" s="34" t="str">
        <x:v>docs/modules/manifesto-edi.md</x:v>
      </x:c>
      <x:c r="P120" s="34" t="str">
        <x:v>Runtime</x:v>
      </x:c>
      <x:c r="Q120" s="34" t="str">
        <x:v>Failed</x:v>
      </x:c>
      <x:c r="R120" s="34" t="str">
        <x:v>DEF-056</x:v>
      </x:c>
      <x:c r="S120" s="34" t="str">
        <x:v>Fixed</x:v>
      </x:c>
      <x:c r="T120" s="34" t="str">
        <x:v>Passed</x:v>
      </x:c>
      <x:c r="U120" s="34" t="str">
        <x:v>Passed</x:v>
      </x:c>
      <x:c r="V120" s="34" t="str">
        <x:v>Post-fix focused tests passed: DEF-056</x:v>
      </x:c>
      <x:c r="W120" s="34" t="str">
        <x:v>Importacao de bookings pode deixar manifesto sem itens | src/services/__tests__/vaziosImportsAtomic.test.ts</x:v>
      </x:c>
    </x:row>
    <x:row r="121" ht="54" customHeight="1">
      <x:c r="A121" s="33" t="str">
        <x:v>US-120</x:v>
      </x:c>
      <x:c r="B121" s="33" t="str">
        <x:v>operacao-suporte</x:v>
      </x:c>
      <x:c r="C121" s="33" t="str">
        <x:v>Carregar KPIs</x:v>
      </x:c>
      <x:c r="D121" s="33" t="str">
        <x:v>Carregar KPIs</x:v>
      </x:c>
      <x:c r="E121" s="33" t="str">
        <x:v>Usuário interno</x:v>
      </x:c>
      <x:c r="F121" s="34" t="str">
        <x:v>Como usuário interno, quero carregar kpis para concluir o objetivo operacional descrito pela interface.</x:v>
      </x:c>
      <x:c r="G121" s="34" t="str">
        <x:v>Ao carregar kpis, o sistema deve executar useQuery(['dashboard']) chama fetchDashboard e fetchDistinctContainerCount. Persistência esperada: Leitura de bls, invoices, alerts, charge_tables; RPC count_distinct_containers. Resultado observável: Preenche cards e links; invoice negada vira “Restrito”. Em falha: Primeiro erro não financeiro interrompe a query; 42501 de invoices é tratado como restrição.</x:v>
      </x:c>
      <x:c r="H121" s="34" t="str">
        <x:v>Sessão interna e perfil ativo</x:v>
      </x:c>
      <x:c r="I121" s="34" t="str">
        <x:v>Montagem de Painel</x:v>
      </x:c>
      <x:c r="J121" s="34" t="str">
        <x:v>useQuery(['dashboard']) chama fetchDashboard e fetchDistinctContainerCount</x:v>
      </x:c>
      <x:c r="K121" s="34" t="str">
        <x:v>Leitura de bls, invoices, alerts, charge_tables; RPC count_distinct_containers</x:v>
      </x:c>
      <x:c r="L121" s="34" t="str">
        <x:v>Preenche cards e links; invoice negada vira “Restrito”</x:v>
      </x:c>
      <x:c r="M121" s="34" t="str">
        <x:v>Primeiro erro não financeiro interrompe a query; 42501 de invoices é tratado como restrição</x:v>
      </x:c>
      <x:c r="N121" s="34" t="str">
        <x:v>Código: src/pages/Painel.tsx</x:v>
      </x:c>
      <x:c r="O121" s="34" t="str">
        <x:v>docs/modules/operacao-suporte.md</x:v>
      </x:c>
      <x:c r="P121" s="34" t="str">
        <x:v>Runtime</x:v>
      </x:c>
      <x:c r="Q121" s="34" t="str">
        <x:v>Blocked</x:v>
      </x:c>
      <x:c r="R121" s="34" t="str"/>
      <x:c r="S121" s="34" t="str">
        <x:v>Not Needed</x:v>
      </x:c>
      <x:c r="T121" s="34" t="str">
        <x:v>Not Applicable</x:v>
      </x:c>
      <x:c r="U121" s="34" t="str">
        <x:v>Passed</x:v>
      </x:c>
      <x:c r="V121" s="34" t="str">
        <x:v>Component behavior test: dashboard KPIs render their values and each card links to the correct route.</x:v>
      </x:c>
      <x:c r="W121" s="34" t="str">
        <x:v>src/pages/__tests__/Painel.behavior.test.tsx</x:v>
      </x:c>
    </x:row>
    <x:row r="122" ht="54" customHeight="1">
      <x:c r="A122" s="33" t="str">
        <x:v>US-121</x:v>
      </x:c>
      <x:c r="B122" s="33" t="str">
        <x:v>operacao-suporte</x:v>
      </x:c>
      <x:c r="C122" s="33" t="str">
        <x:v>Carregar snapshot Line-Up</x:v>
      </x:c>
      <x:c r="D122" s="33" t="str">
        <x:v>Carregar snapshot Line-Up</x:v>
      </x:c>
      <x:c r="E122" s="33" t="str">
        <x:v>Usuário interno</x:v>
      </x:c>
      <x:c r="F122" s="34" t="str">
        <x:v>Como usuário interno, quero carregar snapshot line-up para concluir o objetivo operacional descrito pela interface.</x:v>
      </x:c>
      <x:c r="G122" s="34" t="str">
        <x:v>Ao carregar snapshot line-up, o sistema deve executar useQuery(['lineup-tv-v3']) → fetchLineUpSnapshot. Persistência esperada: Leituras de voyages, bls, bl_containers, vehicles, vazios_importacao_*, audit_logs e agendas. Resultado observável: Cache stale 60 s, refetch 90 s; atualiza tabela, MTY e timestamp. Em falha: Qualquer leitura obrigatória lança erro e exibe falha do Line-Up.</x:v>
      </x:c>
      <x:c r="H122" s="34" t="str">
        <x:v>Sessão interna ativa</x:v>
      </x:c>
      <x:c r="I122" s="34" t="str">
        <x:v>Montagem/intervalo/refresh manual</x:v>
      </x:c>
      <x:c r="J122" s="34" t="str">
        <x:v>useQuery(['lineup-tv-v3']) → fetchLineUpSnapshot</x:v>
      </x:c>
      <x:c r="K122" s="34" t="str">
        <x:v>Leituras de voyages, bls, bl_containers, vehicles, vazios_importacao_*, audit_logs e agendas</x:v>
      </x:c>
      <x:c r="L122" s="34" t="str">
        <x:v>Cache stale 60 s, refetch 90 s; atualiza tabela, MTY e timestamp</x:v>
      </x:c>
      <x:c r="M122" s="34" t="str">
        <x:v>Qualquer leitura obrigatória lança erro e exibe falha do Line-Up</x:v>
      </x:c>
      <x:c r="N122" s="34" t="str">
        <x:v>Código: src/pages/Painel.tsx, src/services/lineup.ts</x:v>
      </x:c>
      <x:c r="O122" s="34" t="str">
        <x:v>docs/modules/operacao-suporte.md</x:v>
      </x:c>
      <x:c r="P122" s="34" t="str">
        <x:v>Runtime</x:v>
      </x:c>
      <x:c r="Q122" s="34" t="str">
        <x:v>Blocked</x:v>
      </x:c>
      <x:c r="R122" s="34" t="str"/>
      <x:c r="S122" s="34" t="str">
        <x:v>Not Needed</x:v>
      </x:c>
      <x:c r="T122" s="34" t="str">
        <x:v>Not Applicable</x:v>
      </x:c>
      <x:c r="U122" s="34" t="str">
        <x:v>Passed</x:v>
      </x:c>
      <x:c r="V122" s="34" t="str">
        <x:v>Component behavior test: Line-Up snapshot renders the active vessel row and the last-updated timestamp.</x:v>
      </x:c>
      <x:c r="W122" s="34" t="str">
        <x:v>src/pages/__tests__/Painel.behavior.test.tsx</x:v>
      </x:c>
    </x:row>
    <x:row r="123" ht="54" customHeight="1">
      <x:c r="A123" s="33" t="str">
        <x:v>US-122</x:v>
      </x:c>
      <x:c r="B123" s="33" t="str">
        <x:v>operacao-suporte</x:v>
      </x:c>
      <x:c r="C123" s="33" t="str">
        <x:v>Filtrar/exportar Line-Up</x:v>
      </x:c>
      <x:c r="D123" s="33" t="str">
        <x:v>Filtrar/exportar Line-Up</x:v>
      </x:c>
      <x:c r="E123" s="33" t="str">
        <x:v>Usuário interno</x:v>
      </x:c>
      <x:c r="F123" s="34" t="str">
        <x:v>Como usuário interno, quero filtrar/exportar line-up para concluir o objetivo operacional descrito pela interface.</x:v>
      </x:c>
      <x:c r="G123" s="34" t="str">
        <x:v>Ao filtrar/exportar line-up, o sistema deve executar Filtro local; import dinâmico de @e965/xlsx. Persistência esperada: Nenhuma escrita no banco; arquivo painel-lineup-AAAA-MM-DD.xlsx. Resultado observável: Não altera cache. Em falha: Falha de download não possui tratamento local específico.</x:v>
      </x:c>
      <x:c r="H123" s="34" t="str">
        <x:v>Snapshot carregado; export exige linhas</x:v>
      </x:c>
      <x:c r="I123" s="34" t="str">
        <x:v>Abas de status e botão Exportar</x:v>
      </x:c>
      <x:c r="J123" s="34" t="str">
        <x:v>Filtro local; import dinâmico de @e965/xlsx</x:v>
      </x:c>
      <x:c r="K123" s="34" t="str">
        <x:v>Nenhuma escrita no banco; arquivo painel-lineup-AAAA-MM-DD.xlsx</x:v>
      </x:c>
      <x:c r="L123" s="34" t="str">
        <x:v>Não altera cache</x:v>
      </x:c>
      <x:c r="M123" s="34" t="str">
        <x:v>Falha de download não possui tratamento local específico</x:v>
      </x:c>
      <x:c r="N123" s="34" t="str">
        <x:v>Código: src/pages/Painel.tsx</x:v>
      </x:c>
      <x:c r="O123" s="34" t="str">
        <x:v>docs/modules/operacao-suporte.md</x:v>
      </x:c>
      <x:c r="P123" s="34" t="str">
        <x:v>Runtime</x:v>
      </x:c>
      <x:c r="Q123" s="34" t="str">
        <x:v>Blocked</x:v>
      </x:c>
      <x:c r="R123" s="34" t="str"/>
      <x:c r="S123" s="34" t="str">
        <x:v>Not Needed</x:v>
      </x:c>
      <x:c r="T123" s="34" t="str">
        <x:v>Not Applicable</x:v>
      </x:c>
      <x:c r="U123" s="34" t="str">
        <x:v>Passed</x:v>
      </x:c>
      <x:c r="V123" s="34" t="str">
        <x:v>Component behavior test: status filter hides non-matching escalas and restores them; export action covered by DEF-057.</x:v>
      </x:c>
      <x:c r="W123" s="34" t="str">
        <x:v>src/pages/__tests__/Painel.behavior.test.tsx</x:v>
      </x:c>
    </x:row>
    <x:row r="124" ht="54" customHeight="1">
      <x:c r="A124" s="33" t="str">
        <x:v>US-123</x:v>
      </x:c>
      <x:c r="B124" s="33" t="str">
        <x:v>operacao-suporte</x:v>
      </x:c>
      <x:c r="C124" s="33" t="str">
        <x:v>Abrir atalhos</x:v>
      </x:c>
      <x:c r="D124" s="33" t="str">
        <x:v>Abrir atalhos</x:v>
      </x:c>
      <x:c r="E124" s="33" t="str">
        <x:v>Usuário interno</x:v>
      </x:c>
      <x:c r="F124" s="34" t="str">
        <x:v>Como usuário interno, quero abrir atalhos para concluir o objetivo operacional descrito pela interface.</x:v>
      </x:c>
      <x:c r="G124" s="34" t="str">
        <x:v>Ao abrir atalhos, o sistema deve executar React Router ou nova aba. Persistência esperada: Nenhuma. Resultado observável: Navega para /chegadas-saidas, /line-up-tv/display ou módulo do KPI. Em falha: Guard pode redirecionar se a sessão deixar de ser válida.</x:v>
      </x:c>
      <x:c r="H124" s="34" t="str">
        <x:v>Sessão interna ativa</x:v>
      </x:c>
      <x:c r="I124" s="34" t="str">
        <x:v>Links no cabeçalho/KPIs</x:v>
      </x:c>
      <x:c r="J124" s="34" t="str">
        <x:v>React Router ou nova aba</x:v>
      </x:c>
      <x:c r="K124" s="34" t="str">
        <x:v>Nenhuma</x:v>
      </x:c>
      <x:c r="L124" s="34" t="str">
        <x:v>Navega para /chegadas-saidas, /line-up-tv/display ou módulo do KPI</x:v>
      </x:c>
      <x:c r="M124" s="34" t="str">
        <x:v>Guard pode redirecionar se a sessão deixar de ser válida</x:v>
      </x:c>
      <x:c r="N124" s="34" t="str">
        <x:v>Código: src/pages/Painel.tsx, src/App.tsx</x:v>
      </x:c>
      <x:c r="O124" s="34" t="str">
        <x:v>docs/modules/operacao-suporte.md</x:v>
      </x:c>
      <x:c r="P124" s="34" t="str">
        <x:v>Runtime</x:v>
      </x:c>
      <x:c r="Q124" s="34" t="str">
        <x:v>Blocked</x:v>
      </x:c>
      <x:c r="R124" s="34" t="str"/>
      <x:c r="S124" s="34" t="str">
        <x:v>Not Needed</x:v>
      </x:c>
      <x:c r="T124" s="34" t="str">
        <x:v>Not Applicable</x:v>
      </x:c>
      <x:c r="U124" s="34" t="str">
        <x:v>Passed</x:v>
      </x:c>
      <x:c r="V124" s="34" t="str">
        <x:v>Component behavior test: Chegadas/Saidas and Abrir tela TV shortcuts point to /chegadas-saidas and /line-up-tv/display.</x:v>
      </x:c>
      <x:c r="W124" s="34" t="str">
        <x:v>src/pages/__tests__/Painel.behavior.test.tsx</x:v>
      </x:c>
    </x:row>
    <x:row r="125" ht="54" customHeight="1">
      <x:c r="A125" s="33" t="str">
        <x:v>US-124</x:v>
      </x:c>
      <x:c r="B125" s="33" t="str">
        <x:v>operacao-suporte</x:v>
      </x:c>
      <x:c r="C125" s="33" t="str">
        <x:v>Carregar, filtrar e agrupar fila</x:v>
      </x:c>
      <x:c r="D125" s="33" t="str">
        <x:v>Carregar, filtrar e agrupar fila</x:v>
      </x:c>
      <x:c r="E125" s="33" t="str">
        <x:v>Usuário interno</x:v>
      </x:c>
      <x:c r="F125" s="34" t="str">
        <x:v>Como usuário interno, quero carregar, filtrar e agrupar fila para concluir o objetivo operacional descrito pela interface.</x:v>
      </x:c>
      <x:c r="G125" s="34" t="str">
        <x:v>Ao carregar, filtrar e agrupar fila, o sistema deve executar useReviewQueue carrega B/Ls/Granite; groupReviewItems agrupa por CNPJ/nome. Persistência esperada: Leitura de bls, customers, customer_contacts, voyages, bl_containers, granite_bls e granite_manifests. Resultado observável: Cache ['review-queue']; filtros e collapse são locais. Em falha: B/L falha: query inteira falha; Granite usa fallback e sinaliza fila incompleta.</x:v>
      </x:c>
      <x:c r="H125" s="34" t="str">
        <x:v>Sessão/perfil ativo</x:v>
      </x:c>
      <x:c r="I125" s="34" t="str">
        <x:v>Montagem, busca e chips</x:v>
      </x:c>
      <x:c r="J125" s="34" t="str">
        <x:v>useReviewQueue carrega B/Ls/Granite; groupReviewItems agrupa por CNPJ/nome</x:v>
      </x:c>
      <x:c r="K125" s="34" t="str">
        <x:v>Leitura de bls, customers, customer_contacts, voyages, bl_containers, granite_bls e granite_manifests</x:v>
      </x:c>
      <x:c r="L125" s="34" t="str">
        <x:v>Cache ['review-queue']; filtros e collapse são locais</x:v>
      </x:c>
      <x:c r="M125" s="34" t="str">
        <x:v>B/L falha: query inteira falha; Granite usa fallback e sinaliza fila incompleta</x:v>
      </x:c>
      <x:c r="N125" s="34" t="str">
        <x:v>Código: src/hooks/useReview.ts, src/pages/Revisao.tsx, src/pages/revisaoHelpers.ts; Teste: src/pages/__tests__/revisaoHelpers.test.ts, src/pages/__tests__/Revisao.test.tsx</x:v>
      </x:c>
      <x:c r="O125" s="34" t="str">
        <x:v>docs/modules/operacao-suporte.md</x:v>
      </x:c>
      <x:c r="P125" s="34" t="str">
        <x:v>Automated</x:v>
      </x:c>
      <x:c r="Q125" s="34" t="str">
        <x:v>Passed</x:v>
      </x:c>
      <x:c r="R125" s="34" t="str"/>
      <x:c r="S125" s="34" t="str">
        <x:v>Not Needed</x:v>
      </x:c>
      <x:c r="T125" s="34" t="str">
        <x:v>Not Applicable</x:v>
      </x:c>
      <x:c r="U125" s="34" t="str">
        <x:v>Passed</x:v>
      </x:c>
      <x:c r="V125" s="34" t="str">
        <x:v>npm test -- --maxWorkers=4 — 598 passed, 9 skipped; focused evidence named in baseline</x:v>
      </x:c>
      <x:c r="W125" s="34" t="str"/>
    </x:row>
    <x:row r="126" ht="54" customHeight="1">
      <x:c r="A126" s="33" t="str">
        <x:v>US-125</x:v>
      </x:c>
      <x:c r="B126" s="33" t="str">
        <x:v>operacao-suporte</x:v>
      </x:c>
      <x:c r="C126" s="33" t="str">
        <x:v>Abrir/navegar drawer</x:v>
      </x:c>
      <x:c r="D126" s="33" t="str">
        <x:v>Abrir/navegar drawer</x:v>
      </x:c>
      <x:c r="E126" s="33" t="str">
        <x:v>Usuário interno</x:v>
      </x:c>
      <x:c r="F126" s="34" t="str">
        <x:v>Como usuário interno, quero abrir/navegar drawer para concluir o objetivo operacional descrito pela interface.</x:v>
      </x:c>
      <x:c r="G126" s="34" t="str">
        <x:v>Ao abrir/navegar drawer, o sistema deve executar Seleção por id; formulário é rebaseado quando o item muda. Persistência esperada: Nenhuma até salvar. Resultado observável: Mantém posição usando siblingIds; item resolvido avança pelo próximo id calculado antes do refetch. Em falha: Alteração do filtro pode remover o item selecionado.</x:v>
      </x:c>
      <x:c r="H126" s="34" t="str">
        <x:v>Item presente no resultado filtrado</x:v>
      </x:c>
      <x:c r="I126" s="34" t="str">
        <x:v>Botão “Corrigir”, anterior/próximo</x:v>
      </x:c>
      <x:c r="J126" s="34" t="str">
        <x:v>Seleção por id; formulário é rebaseado quando o item muda</x:v>
      </x:c>
      <x:c r="K126" s="34" t="str">
        <x:v>Nenhuma até salvar</x:v>
      </x:c>
      <x:c r="L126" s="34" t="str">
        <x:v>Mantém posição usando siblingIds; item resolvido avança pelo próximo id calculado antes do refetch</x:v>
      </x:c>
      <x:c r="M126" s="34" t="str">
        <x:v>Alteração do filtro pode remover o item selecionado</x:v>
      </x:c>
      <x:c r="N126" s="34" t="str">
        <x:v>Código: src/pages/Revisao.tsx; Teste: src/pages/__tests__/Revisao.test.tsx</x:v>
      </x:c>
      <x:c r="O126" s="34" t="str">
        <x:v>docs/modules/operacao-suporte.md</x:v>
      </x:c>
      <x:c r="P126" s="34" t="str">
        <x:v>Automated</x:v>
      </x:c>
      <x:c r="Q126" s="34" t="str">
        <x:v>Passed</x:v>
      </x:c>
      <x:c r="R126" s="34" t="str"/>
      <x:c r="S126" s="34" t="str">
        <x:v>Not Needed</x:v>
      </x:c>
      <x:c r="T126" s="34" t="str">
        <x:v>Not Applicable</x:v>
      </x:c>
      <x:c r="U126" s="34" t="str">
        <x:v>Passed</x:v>
      </x:c>
      <x:c r="V126" s="34" t="str">
        <x:v>npm test -- --maxWorkers=4 — 598 passed, 9 skipped; focused evidence named in baseline</x:v>
      </x:c>
      <x:c r="W126" s="34" t="str"/>
    </x:row>
    <x:row r="127" ht="54" customHeight="1">
      <x:c r="A127" s="33" t="str">
        <x:v>US-126</x:v>
      </x:c>
      <x:c r="B127" s="33" t="str">
        <x:v>operacao-suporte</x:v>
      </x:c>
      <x:c r="C127" s="33" t="str">
        <x:v>Criar e selecionar cliente no drawer</x:v>
      </x:c>
      <x:c r="D127" s="33" t="str">
        <x:v>Criar e selecionar cliente no drawer</x:v>
      </x:c>
      <x:c r="E127" s="33" t="str">
        <x:v>Usuário interno</x:v>
      </x:c>
      <x:c r="F127" s="34" t="str">
        <x:v>Como usuário interno, quero criar e selecionar cliente no drawer para concluir o objetivo operacional descrito pela interface.</x:v>
      </x:c>
      <x:c r="G127" s="34" t="str">
        <x:v>Ao criar e selecionar cliente no drawer, o sistema deve executar createCustomer; em duplicidade busca cadastro existente e o seleciona. Persistência esperada: customers, opcionalmente customer_contacts. Resultado observável: Invalida ['customers']; seleção só é vinculada ao salvar revisão. Em falha: Documento inválido, duplicidade não resolvida ou 42501 geram feedback.</x:v>
      </x:c>
      <x:c r="H127" s="34" t="str">
        <x:v>Nome e CNPJ/CPF válido; permissão de escrita</x:v>
      </x:c>
      <x:c r="I127" s="34" t="str">
        <x:v>Formulário “Ou cadastre”</x:v>
      </x:c>
      <x:c r="J127" s="34" t="str">
        <x:v>createCustomer; em duplicidade busca cadastro existente e o seleciona</x:v>
      </x:c>
      <x:c r="K127" s="34" t="str">
        <x:v>customers, opcionalmente customer_contacts</x:v>
      </x:c>
      <x:c r="L127" s="34" t="str">
        <x:v>Invalida ['customers']; seleção só é vinculada ao salvar revisão</x:v>
      </x:c>
      <x:c r="M127" s="34" t="str">
        <x:v>Documento inválido, duplicidade não resolvida ou 42501 geram feedback</x:v>
      </x:c>
      <x:c r="N127" s="34" t="str">
        <x:v>Código: src/pages/Revisao.tsx, src/services/customers.ts</x:v>
      </x:c>
      <x:c r="O127" s="34" t="str">
        <x:v>docs/modules/operacao-suporte.md</x:v>
      </x:c>
      <x:c r="P127" s="34" t="str">
        <x:v>Runtime</x:v>
      </x:c>
      <x:c r="Q127" s="34" t="str">
        <x:v>Blocked</x:v>
      </x:c>
      <x:c r="R127" s="34" t="str"/>
      <x:c r="S127" s="34" t="str">
        <x:v>Not Needed</x:v>
      </x:c>
      <x:c r="T127" s="34" t="str">
        <x:v>Not Applicable</x:v>
      </x:c>
      <x:c r="U127" s="34" t="str">
        <x:v>Passed</x:v>
      </x:c>
      <x:c r="V127" s="34" t="str">
        <x:v>Component behavior test: drawer creates a new customer and leaves it selected for vinculacao.</x:v>
      </x:c>
      <x:c r="W127" s="34" t="str">
        <x:v>src/pages/__tests__/Revisao.test.tsx</x:v>
      </x:c>
    </x:row>
    <x:row r="128" ht="54" customHeight="1">
      <x:c r="A128" s="33" t="str">
        <x:v>US-127</x:v>
      </x:c>
      <x:c r="B128" s="33" t="str">
        <x:v>operacao-suporte</x:v>
      </x:c>
      <x:c r="C128" s="33" t="str">
        <x:v>Salvar revisão individual</x:v>
      </x:c>
      <x:c r="D128" s="33" t="str">
        <x:v>Salvar revisão individual</x:v>
      </x:c>
      <x:c r="E128" s="33" t="str">
        <x:v>Usuário interno</x:v>
      </x:c>
      <x:c r="F128" s="34" t="str">
        <x:v>Como usuário interno, quero salvar revisão individual para concluir o objetivo operacional descrito pela interface.</x:v>
      </x:c>
      <x:c r="G128" s="34" t="str">
        <x:v>Ao salvar revisão individual, o sistema deve executar saveBlReview → RPC save_bl_review → compute_bl_review_pendencies → status; se resolvido, tryAutoIssueInvoice. Persistência esperada: Atualiza bls; insere audit_logs; sincroniza fila de reconciliação; pode gerar cobranças/invoice. Resultado observável: Invalida review-queue, bls, granite-bls, detalhe, audit, customers e op-count; faturamento também altera caches por fluxos subsequentes. Em falha: PT409/40001 vira conflito concorrente; números inválidos falham antes da RPC; pendências mantêm item na fila.</x:v>
      </x:c>
      <x:c r="H128" s="34" t="str">
        <x:v>Usuário ativo; item B/L; expected_updated_at corrente</x:v>
      </x:c>
      <x:c r="I128" s="34" t="str">
        <x:v>“Marcar como revisado”</x:v>
      </x:c>
      <x:c r="J128" s="34" t="str">
        <x:v>saveBlReview → RPC save_bl_review → compute_bl_review_pendencies → status; se resolvido, tryAutoIssueInvoice</x:v>
      </x:c>
      <x:c r="K128" s="34" t="str">
        <x:v>Atualiza bls; insere audit_logs; sincroniza fila de reconciliação; pode gerar cobranças/invoice</x:v>
      </x:c>
      <x:c r="L128" s="34" t="str">
        <x:v>Invalida review-queue, bls, granite-bls, detalhe, audit, customers e op-count; faturamento também altera caches por fluxos subsequentes</x:v>
      </x:c>
      <x:c r="M128" s="34" t="str">
        <x:v>PT409/40001 vira conflito concorrente; números inválidos falham antes da RPC; pendências mantêm item na fila</x:v>
      </x:c>
      <x:c r="N128" s="34" t="str">
        <x:v>Código: src/pages/Revisao.tsx, src/services/review.ts; Teste: src/services/__tests__/review.test.ts, src/pages/__tests__/Revisao.test.tsx; Teste de contrato SQL: src/services/__tests__/reviewGateCanonicalMigration.test.ts</x:v>
      </x:c>
      <x:c r="O128" s="34" t="str">
        <x:v>docs/modules/operacao-suporte.md</x:v>
      </x:c>
      <x:c r="P128" s="34" t="str">
        <x:v>Automated — SQL contract</x:v>
      </x:c>
      <x:c r="Q128" s="34" t="str">
        <x:v>Passed</x:v>
      </x:c>
      <x:c r="R128" s="34" t="str"/>
      <x:c r="S128" s="34" t="str">
        <x:v>Not Needed</x:v>
      </x:c>
      <x:c r="T128" s="34" t="str">
        <x:v>Not Applicable</x:v>
      </x:c>
      <x:c r="U128" s="34" t="str">
        <x:v>Passed</x:v>
      </x:c>
      <x:c r="V128" s="34" t="str">
        <x:v>npm test -- --maxWorkers=4 — 598 passed, 9 skipped; focused evidence named in baseline</x:v>
      </x:c>
      <x:c r="W128" s="34" t="str"/>
    </x:row>
    <x:row r="129" ht="54" customHeight="1">
      <x:c r="A129" s="33" t="str">
        <x:v>US-128</x:v>
      </x:c>
      <x:c r="B129" s="33" t="str">
        <x:v>operacao-suporte</x:v>
      </x:c>
      <x:c r="C129" s="33" t="str">
        <x:v>Vincular cliente ao grupo</x:v>
      </x:c>
      <x:c r="D129" s="33" t="str">
        <x:v>Vincular cliente ao grupo</x:v>
      </x:c>
      <x:c r="E129" s="33" t="str">
        <x:v>Usuário interno</x:v>
      </x:c>
      <x:c r="F129" s="34" t="str">
        <x:v>Como usuário interno, quero vincular cliente ao grupo para concluir o objetivo operacional descrito pela interface.</x:v>
      </x:c>
      <x:c r="G129" s="34" t="str">
        <x:v>Ao vincular cliente ao grupo, o sistema deve executar Para B/L: applyInlineBlReviewFix(customer_id); para Granite: saveGraniteBlReview; B/L resolvido tenta faturar. Persistência esperada: B/L via save_bl_review; Granite via granite_bls + tentativa de audit_logs. Resultado observável: Invalida review-queue, bls, granite-bls, customers, charges, invoices e op-count. Em falha: Execução é item a item; grupo pode terminar parcialmente vinculado.</x:v>
      </x:c>
      <x:c r="H129" s="34" t="str">
        <x:v>Cliente escolhido; itens sem cliente; usuário ativo</x:v>
      </x:c>
      <x:c r="I129" s="34" t="str">
        <x:v>Picker no cabeçalho do grupo</x:v>
      </x:c>
      <x:c r="J129" s="34" t="str">
        <x:v>Para B/L: applyInlineBlReviewFix(customer_id); para Granite: saveGraniteBlReview; B/L resolvido tenta faturar</x:v>
      </x:c>
      <x:c r="K129" s="34" t="str">
        <x:v>B/L via save_bl_review; Granite via granite_bls + tentativa de audit_logs</x:v>
      </x:c>
      <x:c r="L129" s="34" t="str">
        <x:v>Invalida review-queue, bls, granite-bls, customers, charges, invoices e op-count</x:v>
      </x:c>
      <x:c r="M129" s="34" t="str">
        <x:v>Execução é item a item; grupo pode terminar parcialmente vinculado</x:v>
      </x:c>
      <x:c r="N129" s="34" t="str">
        <x:v>Código: src/pages/Revisao.tsx, src/services/review.ts; Teste: src/pages/__tests__/Revisao.test.tsx</x:v>
      </x:c>
      <x:c r="O129" s="34" t="str">
        <x:v>docs/modules/operacao-suporte.md</x:v>
      </x:c>
      <x:c r="P129" s="34" t="str">
        <x:v>Automated</x:v>
      </x:c>
      <x:c r="Q129" s="34" t="str">
        <x:v>Passed</x:v>
      </x:c>
      <x:c r="R129" s="34" t="str"/>
      <x:c r="S129" s="34" t="str">
        <x:v>Not Needed</x:v>
      </x:c>
      <x:c r="T129" s="34" t="str">
        <x:v>Not Applicable</x:v>
      </x:c>
      <x:c r="U129" s="34" t="str">
        <x:v>Passed</x:v>
      </x:c>
      <x:c r="V129" s="34" t="str">
        <x:v>npm test -- --maxWorkers=4 — 598 passed, 9 skipped; focused evidence named in baseline</x:v>
      </x:c>
      <x:c r="W129" s="34" t="str"/>
    </x:row>
    <x:row r="130" ht="54" customHeight="1">
      <x:c r="A130" s="33" t="str">
        <x:v>US-129</x:v>
      </x:c>
      <x:c r="B130" s="33" t="str">
        <x:v>operacao-suporte</x:v>
      </x:c>
      <x:c r="C130" s="33" t="str">
        <x:v>Adicionar e-mail ao grupo</x:v>
      </x:c>
      <x:c r="D130" s="33" t="str">
        <x:v>Adicionar e-mail ao grupo</x:v>
      </x:c>
      <x:c r="E130" s="33" t="str">
        <x:v>Usuário interno</x:v>
      </x:c>
      <x:c r="F130" s="34" t="str">
        <x:v>Como usuário interno, quero adicionar e-mail ao grupo para concluir o objetivo operacional descrito pela interface.</x:v>
      </x:c>
      <x:c r="G130" s="34" t="str">
        <x:v>Ao adicionar e-mail ao grupo, o sistema deve executar addCustomerEmail → refreshGroupGate → recomputeBlReviewGate por B/L → tentativa de invoice. Persistência esperada: Insere customer_contacts; RPC regrava status/notas do B/L. Resultado observável: Invalida customers, revisão, B/Ls, charges, invoices e op-count. Em falha: Validação da UI exige apenas conteúdo com @; falha em qualquer etapa gera toast.</x:v>
      </x:c>
      <x:c r="H130" s="34" t="str">
        <x:v>Grupo com cliente vinculado e pendência canônica de e-mail</x:v>
      </x:c>
      <x:c r="I130" s="34" t="str">
        <x:v>Campo “E-mail de faturamento”</x:v>
      </x:c>
      <x:c r="J130" s="34" t="str">
        <x:v>addCustomerEmail → refreshGroupGate → recomputeBlReviewGate por B/L → tentativa de invoice</x:v>
      </x:c>
      <x:c r="K130" s="34" t="str">
        <x:v>Insere customer_contacts; RPC regrava status/notas do B/L</x:v>
      </x:c>
      <x:c r="L130" s="34" t="str">
        <x:v>Invalida customers, revisão, B/Ls, charges, invoices e op-count</x:v>
      </x:c>
      <x:c r="M130" s="34" t="str">
        <x:v>Validação da UI exige apenas conteúdo com @; falha em qualquer etapa gera toast</x:v>
      </x:c>
      <x:c r="N130" s="34" t="str">
        <x:v>Código: src/pages/Revisao.tsx, src/services/customers.ts, src/services/review.ts; Teste: src/pages/__tests__/Revisao.test.tsx</x:v>
      </x:c>
      <x:c r="O130" s="34" t="str">
        <x:v>docs/modules/operacao-suporte.md</x:v>
      </x:c>
      <x:c r="P130" s="34" t="str">
        <x:v>Automated</x:v>
      </x:c>
      <x:c r="Q130" s="34" t="str">
        <x:v>Passed</x:v>
      </x:c>
      <x:c r="R130" s="34" t="str"/>
      <x:c r="S130" s="34" t="str">
        <x:v>Not Needed</x:v>
      </x:c>
      <x:c r="T130" s="34" t="str">
        <x:v>Not Applicable</x:v>
      </x:c>
      <x:c r="U130" s="34" t="str">
        <x:v>Passed</x:v>
      </x:c>
      <x:c r="V130" s="34" t="str">
        <x:v>npm test -- --maxWorkers=4 — 598 passed, 9 skipped; focused evidence named in baseline</x:v>
      </x:c>
      <x:c r="W130" s="34" t="str"/>
    </x:row>
    <x:row r="131" ht="54" customHeight="1">
      <x:c r="A131" s="33" t="str">
        <x:v>US-130</x:v>
      </x:c>
      <x:c r="B131" s="33" t="str">
        <x:v>operacao-suporte</x:v>
      </x:c>
      <x:c r="C131" s="33" t="str">
        <x:v>Provisionar e ativar Portal</x:v>
      </x:c>
      <x:c r="D131" s="33" t="str">
        <x:v>Provisionar e ativar Portal</x:v>
      </x:c>
      <x:c r="E131" s="33" t="str">
        <x:v>Usuário interno</x:v>
      </x:c>
      <x:c r="F131" s="34" t="str">
        <x:v>Como usuário interno, quero provisionar e ativar portal para concluir o objetivo operacional descrito pela interface.</x:v>
      </x:c>
      <x:c r="G131" s="34" t="str">
        <x:v>Ao provisionar e ativar portal, o sistema deve executar Gera senha → upsert_customer_portal_account(active=false) → Edge Function → exige auth_user_id → set_customer_portal_account_active(true) → recomputa grupo. Persistência esperada: customer_portal_accounts, Supabase Auth e auditoria das RPCs. Resultado observável: Invalida ['customer-portal-account', customerId], depois caches de revisão/charges/invoices; mostra credencial uma vez. Em falha: Origem, auth, papel, rate limit, e-mail duplicado, Auth não confirmado ou RPC ausente bloqueiam.</x:v>
      </x:c>
      <x:c r="H131" s="34" t="str">
        <x:v>Admin; cliente vinculado; e-mail existente; CNPJ opcional</x:v>
      </x:c>
      <x:c r="I131" s="34" t="str">
        <x:v>Botão “Provisionar portal”</x:v>
      </x:c>
      <x:c r="J131" s="34" t="str">
        <x:v>Gera senha → upsert_customer_portal_account(active=false) → Edge Function → exige auth_user_id → set_customer_portal_account_active(true) → recomputa grupo</x:v>
      </x:c>
      <x:c r="K131" s="34" t="str">
        <x:v>customer_portal_accounts, Supabase Auth e auditoria das RPCs</x:v>
      </x:c>
      <x:c r="L131" s="34" t="str">
        <x:v>Invalida ['customer-portal-account', customerId], depois caches de revisão/charges/invoices; mostra credencial uma vez</x:v>
      </x:c>
      <x:c r="M131" s="34" t="str">
        <x:v>Origem, auth, papel, rate limit, e-mail duplicado, Auth não confirmado ou RPC ausente bloqueiam</x:v>
      </x:c>
      <x:c r="N131" s="34" t="str">
        <x:v>Código: src/pages/Revisao.tsx, src/services/customers.ts, supabase/functions/provision-portal-user/index.ts, supabase/migrations/20260619130000_review_gate_hardening.sql; Teste: src/pages/__tests__/Revisao.test.tsx</x:v>
      </x:c>
      <x:c r="O131" s="34" t="str">
        <x:v>docs/modules/operacao-suporte.md</x:v>
      </x:c>
      <x:c r="P131" s="34" t="str">
        <x:v>Automated</x:v>
      </x:c>
      <x:c r="Q131" s="34" t="str">
        <x:v>Failed</x:v>
      </x:c>
      <x:c r="R131" s="34" t="str">
        <x:v>DEF-006</x:v>
      </x:c>
      <x:c r="S131" s="34" t="str">
        <x:v>Fixed</x:v>
      </x:c>
      <x:c r="T131" s="34" t="str">
        <x:v>Passed</x:v>
      </x:c>
      <x:c r="U131" s="34" t="str">
        <x:v>Passed</x:v>
      </x:c>
      <x:c r="V131" s="34" t="str">
        <x:v>Post-fix focused tests passed: DEF-006</x:v>
      </x:c>
      <x:c r="W131" s="34" t="str">
        <x:v>Filtro por autor de auditoria existe no estado mas não na interface</x:v>
      </x:c>
    </x:row>
    <x:row r="132" ht="54" customHeight="1">
      <x:c r="A132" s="33" t="str">
        <x:v>US-131</x:v>
      </x:c>
      <x:c r="B132" s="33" t="str">
        <x:v>operacao-suporte</x:v>
      </x:c>
      <x:c r="C132" s="33" t="str">
        <x:v>Corrigir peso BB ou CE inline</x:v>
      </x:c>
      <x:c r="D132" s="33" t="str">
        <x:v>Corrigir peso BB ou CE inline</x:v>
      </x:c>
      <x:c r="E132" s="33" t="str">
        <x:v>Usuário interno</x:v>
      </x:c>
      <x:c r="F132" s="34" t="str">
        <x:v>Como usuário interno, quero corrigir peso bb ou ce inline para concluir o objetivo operacional descrito pela interface.</x:v>
      </x:c>
      <x:c r="G132" s="34" t="str">
        <x:v>Ao corrigir peso bb ou ce inline, o sistema deve executar applyInlineBlReviewFix → save_bl_review; só tenta faturar se resultado estiver resolvido. Persistência esperada: bls, audit_logs e status canônico. Resultado observável: Invalida revisão, B/Ls, detalhe, customers e op-count. Em falha: Peso vazio/não positivo e CE vazio são rejeitados; conflito recarrega fila.</x:v>
      </x:c>
      <x:c r="H132" s="34" t="str">
        <x:v>Item B/L; valor válido; motivo aplicável</x:v>
      </x:c>
      <x:c r="I132" s="34" t="str">
        <x:v>Editor inline</x:v>
      </x:c>
      <x:c r="J132" s="34" t="str">
        <x:v>applyInlineBlReviewFix → save_bl_review; só tenta faturar se resultado estiver resolvido</x:v>
      </x:c>
      <x:c r="K132" s="34" t="str">
        <x:v>bls, audit_logs e status canônico</x:v>
      </x:c>
      <x:c r="L132" s="34" t="str">
        <x:v>Invalida revisão, B/Ls, detalhe, customers e op-count</x:v>
      </x:c>
      <x:c r="M132" s="34" t="str">
        <x:v>Peso vazio/não positivo e CE vazio são rejeitados; conflito recarrega fila</x:v>
      </x:c>
      <x:c r="N132" s="34" t="str">
        <x:v>Código: src/pages/Revisao.tsx, src/services/review.ts; Teste: src/services/__tests__/review.test.ts, src/pages/__tests__/revisaoHelpers.test.ts</x:v>
      </x:c>
      <x:c r="O132" s="34" t="str">
        <x:v>docs/modules/operacao-suporte.md</x:v>
      </x:c>
      <x:c r="P132" s="34" t="str">
        <x:v>Automated</x:v>
      </x:c>
      <x:c r="Q132" s="34" t="str">
        <x:v>Passed</x:v>
      </x:c>
      <x:c r="R132" s="34" t="str"/>
      <x:c r="S132" s="34" t="str">
        <x:v>Not Needed</x:v>
      </x:c>
      <x:c r="T132" s="34" t="str">
        <x:v>Not Applicable</x:v>
      </x:c>
      <x:c r="U132" s="34" t="str">
        <x:v>Passed</x:v>
      </x:c>
      <x:c r="V132" s="34" t="str">
        <x:v>npm test -- --maxWorkers=4 — 598 passed, 9 skipped; focused evidence named in baseline</x:v>
      </x:c>
      <x:c r="W132" s="34" t="str"/>
    </x:row>
    <x:row r="133" ht="54" customHeight="1">
      <x:c r="A133" s="33" t="str">
        <x:v>US-132</x:v>
      </x:c>
      <x:c r="B133" s="33" t="str">
        <x:v>operacao-suporte</x:v>
      </x:c>
      <x:c r="C133" s="33" t="str">
        <x:v>Recomputar gate após mutação de cliente/Portal</x:v>
      </x:c>
      <x:c r="D133" s="33" t="str">
        <x:v>Recomputar gate após mutação de cliente/Portal</x:v>
      </x:c>
      <x:c r="E133" s="33" t="str">
        <x:v>Cliente autenticado</x:v>
      </x:c>
      <x:c r="F133" s="34" t="str">
        <x:v>Como cliente autenticado, quero recomputar gate após mutação de cliente/portal para concluir o objetivo operacional descrito pela interface.</x:v>
      </x:c>
      <x:c r="G133" s="34" t="str">
        <x:v>Ao recomputar gate após mutação de cliente/portal, o sistema deve executar recomputeBlReviewGate chama save_bl_review com payload/audit vazios; RPC chama helper canônico. Persistência esperada: Atualiza review_status e linha técnica de notes quando necessário. Resultado observável: B/L resolvido sai da fila e pode entrar na automação financeira. Em falha: Falha pontual é absorvida no loop do grupo e o refetch recupera o estado real.</x:v>
      </x:c>
      <x:c r="H133" s="34" t="str">
        <x:v>B/L já vinculado; updated_at ainda corrente</x:v>
      </x:c>
      <x:c r="I133" s="34" t="str">
        <x:v>Ação de e-mail ou Portal</x:v>
      </x:c>
      <x:c r="J133" s="34" t="str">
        <x:v>recomputeBlReviewGate chama save_bl_review com payload/audit vazios; RPC chama helper canônico</x:v>
      </x:c>
      <x:c r="K133" s="34" t="str">
        <x:v>Atualiza review_status e linha técnica de notes quando necessário</x:v>
      </x:c>
      <x:c r="L133" s="34" t="str">
        <x:v>B/L resolvido sai da fila e pode entrar na automação financeira</x:v>
      </x:c>
      <x:c r="M133" s="34" t="str">
        <x:v>Falha pontual é absorvida no loop do grupo e o refetch recupera o estado real</x:v>
      </x:c>
      <x:c r="N133" s="34" t="str">
        <x:v>Código: src/pages/Revisao.tsx, src/services/review.ts; Teste de contrato SQL: src/services/__tests__/reviewGateCanonicalMigration.test.ts</x:v>
      </x:c>
      <x:c r="O133" s="34" t="str">
        <x:v>docs/modules/operacao-suporte.md</x:v>
      </x:c>
      <x:c r="P133" s="34" t="str">
        <x:v>Automated — SQL contract</x:v>
      </x:c>
      <x:c r="Q133" s="34" t="str">
        <x:v>Passed</x:v>
      </x:c>
      <x:c r="R133" s="34" t="str"/>
      <x:c r="S133" s="34" t="str">
        <x:v>Not Needed</x:v>
      </x:c>
      <x:c r="T133" s="34" t="str">
        <x:v>Not Applicable</x:v>
      </x:c>
      <x:c r="U133" s="34" t="str">
        <x:v>Passed</x:v>
      </x:c>
      <x:c r="V133" s="34" t="str">
        <x:v>npm test -- --maxWorkers=4 — 598 passed, 9 skipped; focused evidence named in baseline</x:v>
      </x:c>
      <x:c r="W133" s="34" t="str"/>
    </x:row>
    <x:row r="134" ht="54" customHeight="1">
      <x:c r="A134" s="33" t="str">
        <x:v>US-133</x:v>
      </x:c>
      <x:c r="B134" s="33" t="str">
        <x:v>operacao-suporte</x:v>
      </x:c>
      <x:c r="C134" s="33" t="str">
        <x:v>Calcular charges e tentar faturamento</x:v>
      </x:c>
      <x:c r="D134" s="33" t="str">
        <x:v>Calcular charges e tentar faturamento</x:v>
      </x:c>
      <x:c r="E134" s="33" t="str">
        <x:v>Usuário interno</x:v>
      </x:c>
      <x:c r="F134" s="34" t="str">
        <x:v>Como usuário interno, quero calcular charges e tentar faturamento para concluir o objetivo operacional descrito pela interface.</x:v>
      </x:c>
      <x:c r="G134" s="34" t="str">
        <x:v>Ao calcular charges e tentar faturamento, o sistema deve executar calculateBlLocalCharges(recalculate=true); se não review_required, não isento e com valor, markBlReadyAndCreateInvoice. Persistência esperada: RPCs calculate_bl_local_charges e mark_bl_ready_and_create_invoice; ledger/invoice conforme contrato financeiro. Resultado observável: Pode levar B/L a invoiced; falha/bloqueio cria aviso de recálculo e preserva fluxo manual. Em falha: Revisão de taxa, isenção, valor zero, USD/bloqueios do banco ou erro de invoice impedem emissão.</x:v>
      </x:c>
      <x:c r="H134" s="34" t="str">
        <x:v>Gate resolvido e customerId presente</x:v>
      </x:c>
      <x:c r="I134" s="34" t="str">
        <x:v>Pós-save/pós-recompute</x:v>
      </x:c>
      <x:c r="J134" s="34" t="str">
        <x:v>calculateBlLocalCharges(recalculate=true); se não review_required, não isento e com valor, markBlReadyAndCreateInvoice</x:v>
      </x:c>
      <x:c r="K134" s="34" t="str">
        <x:v>RPCs calculate_bl_local_charges e mark_bl_ready_and_create_invoice; ledger/invoice conforme contrato financeiro</x:v>
      </x:c>
      <x:c r="L134" s="34" t="str">
        <x:v>Pode levar B/L a invoiced; falha/bloqueio cria aviso de recálculo e preserva fluxo manual</x:v>
      </x:c>
      <x:c r="M134" s="34" t="str">
        <x:v>Revisão de taxa, isenção, valor zero, USD/bloqueios do banco ou erro de invoice impedem emissão</x:v>
      </x:c>
      <x:c r="N134" s="34" t="str">
        <x:v>Código: src/services/reviewBillingAutomation.ts, src/services/charges/chargeOperationsService.ts, src/services/billing.ts; Teste: src/services/__tests__/reviewBillingAutomation.test.ts; Teste de contrato SQL: src/services/__tests__/reviewGateHardeningMigration.test.ts</x:v>
      </x:c>
      <x:c r="O134" s="34" t="str">
        <x:v>docs/modules/operacao-suporte.md</x:v>
      </x:c>
      <x:c r="P134" s="34" t="str">
        <x:v>Automated — SQL contract</x:v>
      </x:c>
      <x:c r="Q134" s="34" t="str">
        <x:v>Passed</x:v>
      </x:c>
      <x:c r="R134" s="34" t="str"/>
      <x:c r="S134" s="34" t="str">
        <x:v>Not Needed</x:v>
      </x:c>
      <x:c r="T134" s="34" t="str">
        <x:v>Not Applicable</x:v>
      </x:c>
      <x:c r="U134" s="34" t="str">
        <x:v>Passed</x:v>
      </x:c>
      <x:c r="V134" s="34" t="str">
        <x:v>npm test -- --maxWorkers=4 — 598 passed, 9 skipped; focused evidence named in baseline</x:v>
      </x:c>
      <x:c r="W134" s="34" t="str"/>
    </x:row>
    <x:row r="135" ht="54" customHeight="1">
      <x:c r="A135" s="33" t="str">
        <x:v>US-134</x:v>
      </x:c>
      <x:c r="B135" s="33" t="str">
        <x:v>operacao-suporte</x:v>
      </x:c>
      <x:c r="C135" s="33" t="str">
        <x:v>Vincular cliente Granite</x:v>
      </x:c>
      <x:c r="D135" s="33" t="str">
        <x:v>Vincular cliente Granite</x:v>
      </x:c>
      <x:c r="E135" s="33" t="str">
        <x:v>Usuário interno</x:v>
      </x:c>
      <x:c r="F135" s="34" t="str">
        <x:v>Como usuário interno, quero vincular cliente granite para concluir o objetivo operacional descrito pela interface.</x:v>
      </x:c>
      <x:c r="G135" s="34" t="str">
        <x:v>Ao vincular cliente granite, o sistema deve executar saveGraniteBlReview atualiza cliente e tenta auditoria separada. Persistência esperada: granite_bls.client_id; audit_logs best effort sem tratamento do erro retornado. Resultado observável: Invalida revisão/Granite; pode exibir aviso para abrir /granito. Em falha: Update falha interrompe; falha de audit não é propagada; não há transação entre ambos.</x:v>
      </x:c>
      <x:c r="H135" s="34" t="str">
        <x:v>Cliente selecionado; item Granite sem client_id</x:v>
      </x:c>
      <x:c r="I135" s="34" t="str">
        <x:v>Grupo ou drawer</x:v>
      </x:c>
      <x:c r="J135" s="34" t="str">
        <x:v>saveGraniteBlReview atualiza cliente e tenta auditoria separada</x:v>
      </x:c>
      <x:c r="K135" s="34" t="str">
        <x:v>granite_bls.client_id; audit_logs best effort sem tratamento do erro retornado</x:v>
      </x:c>
      <x:c r="L135" s="34" t="str">
        <x:v>Invalida revisão/Granite; pode exibir aviso para abrir /granito</x:v>
      </x:c>
      <x:c r="M135" s="34" t="str">
        <x:v>Update falha interrompe; falha de audit não é propagada; não há transação entre ambos</x:v>
      </x:c>
      <x:c r="N135" s="34" t="str">
        <x:v>Código: src/services/review.ts, src/pages/Revisao.tsx</x:v>
      </x:c>
      <x:c r="O135" s="34" t="str">
        <x:v>docs/modules/operacao-suporte.md</x:v>
      </x:c>
      <x:c r="P135" s="34" t="str">
        <x:v>Runtime</x:v>
      </x:c>
      <x:c r="Q135" s="34" t="str">
        <x:v>Failed</x:v>
      </x:c>
      <x:c r="R135" s="34" t="str">
        <x:v>DEF-060</x:v>
      </x:c>
      <x:c r="S135" s="34" t="str">
        <x:v>Fixed</x:v>
      </x:c>
      <x:c r="T135" s="34" t="str">
        <x:v>Passed</x:v>
      </x:c>
      <x:c r="U135" s="34" t="str">
        <x:v>Passed</x:v>
      </x:c>
      <x:c r="V135" s="34" t="str">
        <x:v>Post-fix focused tests passed: DEF-060</x:v>
      </x:c>
      <x:c r="W135" s="34" t="str">
        <x:v>Vinculo de cliente Granite atualizava e auditava em requisicoes separadas</x:v>
      </x:c>
    </x:row>
    <x:row r="136" ht="54" customHeight="1">
      <x:c r="A136" s="33" t="str">
        <x:v>US-135</x:v>
      </x:c>
      <x:c r="B136" s="33" t="str">
        <x:v>operacao-suporte</x:v>
      </x:c>
      <x:c r="C136" s="33" t="str">
        <x:v>Filtrar/listar</x:v>
      </x:c>
      <x:c r="D136" s="33" t="str">
        <x:v>Filtrar/listar</x:v>
      </x:c>
      <x:c r="E136" s="33" t="str">
        <x:v>Usuário interno</x:v>
      </x:c>
      <x:c r="F136" s="34" t="str">
        <x:v>Como usuário interno, quero filtrar/listar para concluir o objetivo operacional descrito pela interface.</x:v>
      </x:c>
      <x:c r="G136" s="34" t="str">
        <x:v>Ao filtrar/listar, o sistema deve executar useQuery(['alerts', statusFilter]) → listAlerts. Persistência esperada: Leitura de até 200 alerts não fechados. Resultado observável: Troca de filtro usa cache por status. Em falha: Erro exibe InlineError.</x:v>
      </x:c>
      <x:c r="H136" s="34" t="str">
        <x:v>Sessão interna ativa</x:v>
      </x:c>
      <x:c r="I136" s="34" t="str">
        <x:v>Abas Todos/Novos/Reconhecidos</x:v>
      </x:c>
      <x:c r="J136" s="34" t="str">
        <x:v>useQuery(['alerts', statusFilter]) → listAlerts</x:v>
      </x:c>
      <x:c r="K136" s="34" t="str">
        <x:v>Leitura de até 200 alerts não fechados</x:v>
      </x:c>
      <x:c r="L136" s="34" t="str">
        <x:v>Troca de filtro usa cache por status</x:v>
      </x:c>
      <x:c r="M136" s="34" t="str">
        <x:v>Erro exibe InlineError</x:v>
      </x:c>
      <x:c r="N136" s="34" t="str">
        <x:v>Código: src/pages/Alertas.tsx, src/services/alerts.ts</x:v>
      </x:c>
      <x:c r="O136" s="34" t="str">
        <x:v>docs/modules/operacao-suporte.md</x:v>
      </x:c>
      <x:c r="P136" s="34" t="str">
        <x:v>Runtime</x:v>
      </x:c>
      <x:c r="Q136" s="34" t="str">
        <x:v>Blocked</x:v>
      </x:c>
      <x:c r="R136" s="34" t="str"/>
      <x:c r="S136" s="34" t="str">
        <x:v>Not Needed</x:v>
      </x:c>
      <x:c r="T136" s="34" t="str">
        <x:v>Not Applicable</x:v>
      </x:c>
      <x:c r="U136" s="34" t="str">
        <x:v>Passed</x:v>
      </x:c>
      <x:c r="V136" s="34" t="str">
        <x:v>Component behavior test: alert list renders and the status tabs (all/open/acknowledged) filter the rows.</x:v>
      </x:c>
      <x:c r="W136" s="34" t="str">
        <x:v>src/pages/__tests__/Alertas.behavior.test.tsx</x:v>
      </x:c>
    </x:row>
    <x:row r="137" ht="54" customHeight="1">
      <x:c r="A137" s="33" t="str">
        <x:v>US-136</x:v>
      </x:c>
      <x:c r="B137" s="33" t="str">
        <x:v>operacao-suporte</x:v>
      </x:c>
      <x:c r="C137" s="33" t="str">
        <x:v>Reconhecer</x:v>
      </x:c>
      <x:c r="D137" s="33" t="str">
        <x:v>Reconhecer</x:v>
      </x:c>
      <x:c r="E137" s="33" t="str">
        <x:v>Usuário interno</x:v>
      </x:c>
      <x:c r="F137" s="34" t="str">
        <x:v>Como usuário interno, quero reconhecer para concluir o objetivo operacional descrito pela interface.</x:v>
      </x:c>
      <x:c r="G137" s="34" t="str">
        <x:v>Ao reconhecer, o sistema deve executar acknowledgeAlert(id) aplica eq(status, open). Persistência esperada: alerts.status = acknowledged. Resultado observável: Invalida ['alerts'], ['op-count'], ['dashboard']. Em falha: Update concorrente que já mudou status pode afetar zero linhas sem erro explícito.</x:v>
      </x:c>
      <x:c r="H137" s="34" t="str">
        <x:v>Alerta ainda open</x:v>
      </x:c>
      <x:c r="I137" s="34" t="str">
        <x:v>Botão “Reconhecer”</x:v>
      </x:c>
      <x:c r="J137" s="34" t="str">
        <x:v>acknowledgeAlert(id) aplica eq(status, open)</x:v>
      </x:c>
      <x:c r="K137" s="34" t="str">
        <x:v>alerts.status = acknowledged</x:v>
      </x:c>
      <x:c r="L137" s="34" t="str">
        <x:v>Invalida ['alerts'], ['op-count'], ['dashboard']</x:v>
      </x:c>
      <x:c r="M137" s="34" t="str">
        <x:v>Update concorrente que já mudou status pode afetar zero linhas sem erro explícito</x:v>
      </x:c>
      <x:c r="N137" s="34" t="str">
        <x:v>Código: src/pages/Alertas.tsx, src/services/alerts.ts</x:v>
      </x:c>
      <x:c r="O137" s="34" t="str">
        <x:v>docs/modules/operacao-suporte.md</x:v>
      </x:c>
      <x:c r="P137" s="34" t="str">
        <x:v>Runtime</x:v>
      </x:c>
      <x:c r="Q137" s="34" t="str">
        <x:v>Failed</x:v>
      </x:c>
      <x:c r="R137" s="34" t="str">
        <x:v>DEF-058</x:v>
      </x:c>
      <x:c r="S137" s="34" t="str">
        <x:v>Fixed</x:v>
      </x:c>
      <x:c r="T137" s="34" t="str">
        <x:v>Passed</x:v>
      </x:c>
      <x:c r="U137" s="34" t="str">
        <x:v>Passed</x:v>
      </x:c>
      <x:c r="V137" s="34" t="str">
        <x:v>Post-fix focused tests passed: DEF-058</x:v>
      </x:c>
      <x:c r="W137" s="34" t="str">
        <x:v>Reconhecer alerta reportava sucesso em transicao obsoleta</x:v>
      </x:c>
    </x:row>
    <x:row r="138" ht="54" customHeight="1">
      <x:c r="A138" s="33" t="str">
        <x:v>US-137</x:v>
      </x:c>
      <x:c r="B138" s="33" t="str">
        <x:v>operacao-suporte</x:v>
      </x:c>
      <x:c r="C138" s="33" t="str">
        <x:v>Fechar</x:v>
      </x:c>
      <x:c r="D138" s="33" t="str">
        <x:v>Fechar</x:v>
      </x:c>
      <x:c r="E138" s="33" t="str">
        <x:v>Usuário interno</x:v>
      </x:c>
      <x:c r="F138" s="34" t="str">
        <x:v>Como usuário interno, quero fechar para concluir o objetivo operacional descrito pela interface.</x:v>
      </x:c>
      <x:c r="G138" s="34" t="str">
        <x:v>Ao fechar, o sistema deve executar closeAlert(id) aplica neq(status, closed). Persistência esperada: alerts.status = closed, closed_at = now. Resultado observável: Invalida alerts/op-count/dashboard. Em falha: Linha já fechada pode afetar zero linhas sem erro explícito.</x:v>
      </x:c>
      <x:c r="H138" s="34" t="str">
        <x:v>Alerta ainda não fechado</x:v>
      </x:c>
      <x:c r="I138" s="34" t="str">
        <x:v>Botão “Fechar”</x:v>
      </x:c>
      <x:c r="J138" s="34" t="str">
        <x:v>closeAlert(id) aplica neq(status, closed)</x:v>
      </x:c>
      <x:c r="K138" s="34" t="str">
        <x:v>alerts.status = closed, closed_at = now</x:v>
      </x:c>
      <x:c r="L138" s="34" t="str">
        <x:v>Invalida alerts/op-count/dashboard</x:v>
      </x:c>
      <x:c r="M138" s="34" t="str">
        <x:v>Linha já fechada pode afetar zero linhas sem erro explícito</x:v>
      </x:c>
      <x:c r="N138" s="34" t="str">
        <x:v>Código: src/pages/Alertas.tsx, src/services/alerts.ts</x:v>
      </x:c>
      <x:c r="O138" s="34" t="str">
        <x:v>docs/modules/operacao-suporte.md</x:v>
      </x:c>
      <x:c r="P138" s="34" t="str">
        <x:v>Runtime</x:v>
      </x:c>
      <x:c r="Q138" s="34" t="str">
        <x:v>Failed</x:v>
      </x:c>
      <x:c r="R138" s="34" t="str">
        <x:v>DEF-059</x:v>
      </x:c>
      <x:c r="S138" s="34" t="str">
        <x:v>Fixed</x:v>
      </x:c>
      <x:c r="T138" s="34" t="str">
        <x:v>Passed</x:v>
      </x:c>
      <x:c r="U138" s="34" t="str">
        <x:v>Passed</x:v>
      </x:c>
      <x:c r="V138" s="34" t="str">
        <x:v>Post-fix focused tests passed: DEF-059</x:v>
      </x:c>
      <x:c r="W138" s="34" t="str">
        <x:v>Fechar alerta reportava sucesso em transicao obsoleta</x:v>
      </x:c>
    </x:row>
    <x:row r="139" ht="54" customHeight="1">
      <x:c r="A139" s="33" t="str">
        <x:v>US-138</x:v>
      </x:c>
      <x:c r="B139" s="33" t="str">
        <x:v>operacao-suporte</x:v>
      </x:c>
      <x:c r="C139" s="33" t="str">
        <x:v>Abrir entidade</x:v>
      </x:c>
      <x:c r="D139" s="33" t="str">
        <x:v>Abrir entidade</x:v>
      </x:c>
      <x:c r="E139" s="33" t="str">
        <x:v>Usuário interno</x:v>
      </x:c>
      <x:c r="F139" s="34" t="str">
        <x:v>Como usuário interno, quero abrir entidade para concluir o objetivo operacional descrito pela interface.</x:v>
      </x:c>
      <x:c r="G139" s="34" t="str">
        <x:v>Ao abrir entidade, o sistema deve executar Mapeia invoice, container ou B/L para rota interna. Persistência esperada: Nenhuma. Resultado observável: Navega para faturamento, demurrage ou manifesto. Em falha: Tipos sem mapeamento não exibem link.</x:v>
      </x:c>
      <x:c r="H139" s="34" t="str">
        <x:v>entity_type/entity_id suportados</x:v>
      </x:c>
      <x:c r="I139" s="34" t="str">
        <x:v>Link na linha</x:v>
      </x:c>
      <x:c r="J139" s="34" t="str">
        <x:v>Mapeia invoice, container ou B/L para rota interna</x:v>
      </x:c>
      <x:c r="K139" s="34" t="str">
        <x:v>Nenhuma</x:v>
      </x:c>
      <x:c r="L139" s="34" t="str">
        <x:v>Navega para faturamento, demurrage ou manifesto</x:v>
      </x:c>
      <x:c r="M139" s="34" t="str">
        <x:v>Tipos sem mapeamento não exibem link</x:v>
      </x:c>
      <x:c r="N139" s="34" t="str">
        <x:v>Código: src/pages/Alertas.tsx</x:v>
      </x:c>
      <x:c r="O139" s="34" t="str">
        <x:v>docs/modules/operacao-suporte.md</x:v>
      </x:c>
      <x:c r="P139" s="34" t="str">
        <x:v>Runtime</x:v>
      </x:c>
      <x:c r="Q139" s="34" t="str">
        <x:v>Blocked</x:v>
      </x:c>
      <x:c r="R139" s="34" t="str"/>
      <x:c r="S139" s="34" t="str">
        <x:v>Not Needed</x:v>
      </x:c>
      <x:c r="T139" s="34" t="str">
        <x:v>Not Applicable</x:v>
      </x:c>
      <x:c r="U139" s="34" t="str">
        <x:v>Passed</x:v>
      </x:c>
      <x:c r="V139" s="34" t="str">
        <x:v>Component behavior test: container and invoice alerts expose direct entity links (/demurrage?busca, /faturamento?invoice).</x:v>
      </x:c>
      <x:c r="W139" s="34" t="str">
        <x:v>src/pages/__tests__/Alertas.behavior.test.tsx</x:v>
      </x:c>
    </x:row>
    <x:row r="140" ht="54" customHeight="1">
      <x:c r="A140" s="33" t="str">
        <x:v>US-139</x:v>
      </x:c>
      <x:c r="B140" s="33" t="str">
        <x:v>operacao-suporte</x:v>
      </x:c>
      <x:c r="C140" s="33" t="str">
        <x:v>Consultar operacional</x:v>
      </x:c>
      <x:c r="D140" s="33" t="str">
        <x:v>Consultar operacional</x:v>
      </x:c>
      <x:c r="E140" s="33" t="str">
        <x:v>Usuário interno</x:v>
      </x:c>
      <x:c r="F140" s="34" t="str">
        <x:v>Como usuário interno, quero consultar operacional para concluir o objetivo operacional descrito pela interface.</x:v>
      </x:c>
      <x:c r="G140" s="34" t="str">
        <x:v>Ao consultar operacional, o sistema deve executar fetchOperationalReport, limite 2.000. Persistência esperada: Leitura de bls com customers, voyages/vessels/carriers e containers. Resultado observável: Cache ['report-operational', filters]; calcula KPIs no cliente. Em falha: Erro da query interrompe; limite atingido gera aviso.</x:v>
      </x:c>
      <x:c r="H140" s="34" t="str">
        <x:v>Sessão ativa</x:v>
      </x:c>
      <x:c r="I140" s="34" t="str">
        <x:v>Aba/filtros</x:v>
      </x:c>
      <x:c r="J140" s="34" t="str">
        <x:v>fetchOperationalReport, limite 2.000</x:v>
      </x:c>
      <x:c r="K140" s="34" t="str">
        <x:v>Leitura de bls com customers, voyages/vessels/carriers e containers</x:v>
      </x:c>
      <x:c r="L140" s="34" t="str">
        <x:v>Cache ['report-operational', filters]; calcula KPIs no cliente</x:v>
      </x:c>
      <x:c r="M140" s="34" t="str">
        <x:v>Erro da query interrompe; limite atingido gera aviso</x:v>
      </x:c>
      <x:c r="N140" s="34" t="str">
        <x:v>Código: src/pages/Relatorios.tsx, src/services/reports.ts</x:v>
      </x:c>
      <x:c r="O140" s="34" t="str">
        <x:v>docs/modules/operacao-suporte.md</x:v>
      </x:c>
      <x:c r="P140" s="34" t="str">
        <x:v>Runtime</x:v>
      </x:c>
      <x:c r="Q140" s="34" t="str">
        <x:v>Blocked</x:v>
      </x:c>
      <x:c r="R140" s="34" t="str"/>
      <x:c r="S140" s="34" t="str">
        <x:v>Not Needed</x:v>
      </x:c>
      <x:c r="T140" s="34" t="str">
        <x:v>Not Applicable</x:v>
      </x:c>
      <x:c r="U140" s="34" t="str">
        <x:v>Passed</x:v>
      </x:c>
      <x:c r="V140" s="34" t="str">
        <x:v>Component behavior test: operational report renders KPIs and B/L rows for the period.</x:v>
      </x:c>
      <x:c r="W140" s="34" t="str">
        <x:v>src/pages/__tests__/Relatorios.behavior.test.tsx</x:v>
      </x:c>
    </x:row>
    <x:row r="141" ht="54" customHeight="1">
      <x:c r="A141" s="33" t="str">
        <x:v>US-140</x:v>
      </x:c>
      <x:c r="B141" s="33" t="str">
        <x:v>operacao-suporte</x:v>
      </x:c>
      <x:c r="C141" s="33" t="str">
        <x:v>Consultar financeiro</x:v>
      </x:c>
      <x:c r="D141" s="33" t="str">
        <x:v>Consultar financeiro</x:v>
      </x:c>
      <x:c r="E141" s="33" t="str">
        <x:v>Usuário interno</x:v>
      </x:c>
      <x:c r="F141" s="34" t="str">
        <x:v>Como usuário interno, quero consultar financeiro para concluir o objetivo operacional descrito pela interface.</x:v>
      </x:c>
      <x:c r="G141" s="34" t="str">
        <x:v>Ao consultar financeiro, o sistema deve executar fetchFinancialReport; reconstrói saldo local com receivables. Persistência esperada: invoices, invoice_receivable_links, bl_receivables. Resultado observável: Cache ['report-financial', filters]; limite 2.000. Em falha: 42501/PGRST301 retorna estado accessDenied, demais erros propagam.</x:v>
      </x:c>
      <x:c r="H141" s="34" t="str">
        <x:v>Permissão de leitura financeira</x:v>
      </x:c>
      <x:c r="I141" s="34" t="str">
        <x:v>Aba/filtros</x:v>
      </x:c>
      <x:c r="J141" s="34" t="str">
        <x:v>fetchFinancialReport; reconstrói saldo local com receivables</x:v>
      </x:c>
      <x:c r="K141" s="34" t="str">
        <x:v>invoices, invoice_receivable_links, bl_receivables</x:v>
      </x:c>
      <x:c r="L141" s="34" t="str">
        <x:v>Cache ['report-financial', filters]; limite 2.000</x:v>
      </x:c>
      <x:c r="M141" s="34" t="str">
        <x:v>42501/PGRST301 retorna estado accessDenied, demais erros propagam</x:v>
      </x:c>
      <x:c r="N141" s="34" t="str">
        <x:v>Código: src/services/reports.ts; Teste: src/services/__tests__/reports.test.ts</x:v>
      </x:c>
      <x:c r="O141" s="34" t="str">
        <x:v>docs/modules/operacao-suporte.md</x:v>
      </x:c>
      <x:c r="P141" s="34" t="str">
        <x:v>Automated</x:v>
      </x:c>
      <x:c r="Q141" s="34" t="str">
        <x:v>Passed</x:v>
      </x:c>
      <x:c r="R141" s="34" t="str"/>
      <x:c r="S141" s="34" t="str">
        <x:v>Not Needed</x:v>
      </x:c>
      <x:c r="T141" s="34" t="str">
        <x:v>Not Applicable</x:v>
      </x:c>
      <x:c r="U141" s="34" t="str">
        <x:v>Passed</x:v>
      </x:c>
      <x:c r="V141" s="34" t="str">
        <x:v>npm test -- --maxWorkers=4 — 598 passed, 9 skipped; focused evidence named in baseline</x:v>
      </x:c>
      <x:c r="W141" s="34" t="str"/>
    </x:row>
    <x:row r="142" ht="54" customHeight="1">
      <x:c r="A142" s="33" t="str">
        <x:v>US-141</x:v>
      </x:c>
      <x:c r="B142" s="33" t="str">
        <x:v>operacao-suporte</x:v>
      </x:c>
      <x:c r="C142" s="33" t="str">
        <x:v>Consultar por cliente</x:v>
      </x:c>
      <x:c r="D142" s="33" t="str">
        <x:v>Consultar por cliente</x:v>
      </x:c>
      <x:c r="E142" s="33" t="str">
        <x:v>Usuário interno</x:v>
      </x:c>
      <x:c r="F142" s="34" t="str">
        <x:v>Como usuário interno, quero consultar por cliente para concluir o objetivo operacional descrito pela interface.</x:v>
      </x:c>
      <x:c r="G142" s="34" t="str">
        <x:v>Ao consultar por cliente, o sistema deve executar Carrega B/Ls e invoices, agrega por customer_id, deduplica recebíveis. Persistência esperada: bls, invoices, invoice_receivable_links, bl_receivables. Resultado observável: Cache ['report-customers', filters]; até 4.000 linhas por fonte. Em falha: Sem acesso a invoices, mantém métricas operacionais e zera componente financeiro.</x:v>
      </x:c>
      <x:c r="H142" s="34" t="str">
        <x:v>Sessão ativa; financeiro pode ser restrito</x:v>
      </x:c>
      <x:c r="I142" s="34" t="str">
        <x:v>Aba/período</x:v>
      </x:c>
      <x:c r="J142" s="34" t="str">
        <x:v>Carrega B/Ls e invoices, agrega por customer_id, deduplica recebíveis</x:v>
      </x:c>
      <x:c r="K142" s="34" t="str">
        <x:v>bls, invoices, invoice_receivable_links, bl_receivables</x:v>
      </x:c>
      <x:c r="L142" s="34" t="str">
        <x:v>Cache ['report-customers', filters]; até 4.000 linhas por fonte</x:v>
      </x:c>
      <x:c r="M142" s="34" t="str">
        <x:v>Sem acesso a invoices, mantém métricas operacionais e zera componente financeiro</x:v>
      </x:c>
      <x:c r="N142" s="34" t="str">
        <x:v>Código: src/pages/Relatorios.tsx, src/services/reports.ts; Teste: src/services/__tests__/reports.test.ts</x:v>
      </x:c>
      <x:c r="O142" s="34" t="str">
        <x:v>docs/modules/operacao-suporte.md</x:v>
      </x:c>
      <x:c r="P142" s="34" t="str">
        <x:v>Automated</x:v>
      </x:c>
      <x:c r="Q142" s="34" t="str">
        <x:v>Passed</x:v>
      </x:c>
      <x:c r="R142" s="34" t="str"/>
      <x:c r="S142" s="34" t="str">
        <x:v>Not Needed</x:v>
      </x:c>
      <x:c r="T142" s="34" t="str">
        <x:v>Not Applicable</x:v>
      </x:c>
      <x:c r="U142" s="34" t="str">
        <x:v>Passed</x:v>
      </x:c>
      <x:c r="V142" s="34" t="str">
        <x:v>npm test -- --maxWorkers=4 — 598 passed, 9 skipped; focused evidence named in baseline</x:v>
      </x:c>
      <x:c r="W142" s="34" t="str"/>
    </x:row>
    <x:row r="143" ht="54" customHeight="1">
      <x:c r="A143" s="33" t="str">
        <x:v>US-142</x:v>
      </x:c>
      <x:c r="B143" s="33" t="str">
        <x:v>operacao-suporte</x:v>
      </x:c>
      <x:c r="C143" s="33" t="str">
        <x:v>Consultar demurrage</x:v>
      </x:c>
      <x:c r="D143" s="33" t="str">
        <x:v>Consultar demurrage</x:v>
      </x:c>
      <x:c r="E143" s="33" t="str">
        <x:v>Usuário interno</x:v>
      </x:c>
      <x:c r="F143" s="34" t="str">
        <x:v>Como usuário interno, quero consultar demurrage para concluir o objetivo operacional descrito pela interface.</x:v>
      </x:c>
      <x:c r="G143" s="34" t="str">
        <x:v>Ao consultar demurrage, o sistema deve executar listDemurrageInvoices. Persistência esperada: demurrage_invoices com customers e B/L/viagem/navio. Resultado observável: Cache ['demurrage-report', dateFrom, dateTo, statusFilter]. Em falha: Erro exibe InlineError; service não define limite explícito.</x:v>
      </x:c>
      <x:c r="H143" s="34" t="str">
        <x:v>Sessão ativa</x:v>
      </x:c>
      <x:c r="I143" s="34" t="str">
        <x:v>Aba/período/status</x:v>
      </x:c>
      <x:c r="J143" s="34" t="str">
        <x:v>listDemurrageInvoices</x:v>
      </x:c>
      <x:c r="K143" s="34" t="str">
        <x:v>demurrage_invoices com customers e B/L/viagem/navio</x:v>
      </x:c>
      <x:c r="L143" s="34" t="str">
        <x:v>Cache ['demurrage-report', dateFrom, dateTo, statusFilter]</x:v>
      </x:c>
      <x:c r="M143" s="34" t="str">
        <x:v>Erro exibe InlineError; service não define limite explícito</x:v>
      </x:c>
      <x:c r="N143" s="34" t="str">
        <x:v>Código: src/pages/Relatorios.tsx, src/services/demurrage/demurrageInvoices.ts</x:v>
      </x:c>
      <x:c r="O143" s="34" t="str">
        <x:v>docs/modules/operacao-suporte.md</x:v>
      </x:c>
      <x:c r="P143" s="34" t="str">
        <x:v>Runtime</x:v>
      </x:c>
      <x:c r="Q143" s="34" t="str">
        <x:v>Blocked</x:v>
      </x:c>
      <x:c r="R143" s="34" t="str"/>
      <x:c r="S143" s="34" t="str">
        <x:v>Not Needed</x:v>
      </x:c>
      <x:c r="T143" s="34" t="str">
        <x:v>Not Applicable</x:v>
      </x:c>
      <x:c r="U143" s="34" t="str">
        <x:v>Passed</x:v>
      </x:c>
      <x:c r="V143" s="34" t="str">
        <x:v>Component behavior test: demurrage report tab lists the period invoices (doc/BL/cliente/totais).</x:v>
      </x:c>
      <x:c r="W143" s="34" t="str">
        <x:v>src/pages/__tests__/Relatorios.behavior.test.tsx</x:v>
      </x:c>
    </x:row>
    <x:row r="144" ht="54" customHeight="1">
      <x:c r="A144" s="33" t="str">
        <x:v>US-143</x:v>
      </x:c>
      <x:c r="B144" s="33" t="str">
        <x:v>operacao-suporte</x:v>
      </x:c>
      <x:c r="C144" s="33" t="str">
        <x:v>Exportar XLSX</x:v>
      </x:c>
      <x:c r="D144" s="33" t="str">
        <x:v>Exportar XLSX</x:v>
      </x:c>
      <x:c r="E144" s="33" t="str">
        <x:v>Usuário interno</x:v>
      </x:c>
      <x:c r="F144" s="34" t="str">
        <x:v>Como usuário interno, quero exportar xlsx para concluir o objetivo operacional descrito pela interface.</x:v>
      </x:c>
      <x:c r="G144" s="34" t="str">
        <x:v>Ao exportar xlsx, o sistema deve executar Fetch de exportação e import dinâmico de src/services/exports.ts. Persistência esperada: Sem escrita; gera arquivo local. Resultado observável: Não invalida cache. Em falha: Operacional/financeiro podem buscar volume sem limite; falha gera toast.</x:v>
      </x:c>
      <x:c r="H144" s="34" t="str">
        <x:v>Aba operacional/financeira/clientes com dados</x:v>
      </x:c>
      <x:c r="I144" s="34" t="str">
        <x:v>Botão “Exportar xlsx”</x:v>
      </x:c>
      <x:c r="J144" s="34" t="str">
        <x:v>Fetch de exportação e import dinâmico de src/services/exports.ts</x:v>
      </x:c>
      <x:c r="K144" s="34" t="str">
        <x:v>Sem escrita; gera arquivo local</x:v>
      </x:c>
      <x:c r="L144" s="34" t="str">
        <x:v>Não invalida cache</x:v>
      </x:c>
      <x:c r="M144" s="34" t="str">
        <x:v>Operacional/financeiro podem buscar volume sem limite; falha gera toast</x:v>
      </x:c>
      <x:c r="N144" s="34" t="str">
        <x:v>Código: src/pages/Relatorios.tsx, src/services/reports.ts, src/services/exports.ts</x:v>
      </x:c>
      <x:c r="O144" s="34" t="str">
        <x:v>docs/modules/operacao-suporte.md</x:v>
      </x:c>
      <x:c r="P144" s="34" t="str">
        <x:v>Runtime</x:v>
      </x:c>
      <x:c r="Q144" s="34" t="str">
        <x:v>Failed</x:v>
      </x:c>
      <x:c r="R144" s="34" t="str">
        <x:v>DEF-057</x:v>
      </x:c>
      <x:c r="S144" s="34" t="str">
        <x:v>Fixed</x:v>
      </x:c>
      <x:c r="T144" s="34" t="str">
        <x:v>Passed</x:v>
      </x:c>
      <x:c r="U144" s="34" t="str">
        <x:v>Passed</x:v>
      </x:c>
      <x:c r="V144" s="34" t="str">
        <x:v>Post-fix focused tests passed: DEF-057</x:v>
      </x:c>
      <x:c r="W144" s="34" t="str">
        <x:v>Exportacao do Line-Up no Painel falhava sem feedback ao operador</x:v>
      </x:c>
    </x:row>
    <x:row r="145" ht="54" customHeight="1">
      <x:c r="A145" s="33" t="str">
        <x:v>US-144</x:v>
      </x:c>
      <x:c r="B145" s="33" t="str">
        <x:v>operacao-suporte</x:v>
      </x:c>
      <x:c r="C145" s="33" t="str">
        <x:v>Abrir /line-up-tv</x:v>
      </x:c>
      <x:c r="D145" s="33" t="str">
        <x:v>Abrir /line-up-tv</x:v>
      </x:c>
      <x:c r="E145" s="33" t="str">
        <x:v>Usuário interno</x:v>
      </x:c>
      <x:c r="F145" s="34" t="str">
        <x:v>Como usuário interno, quero abrir /line-up-tv para concluir o objetivo operacional descrito pela interface.</x:v>
      </x:c>
      <x:c r="G145" s="34" t="str">
        <x:v>Ao abrir /line-up-tv, o sistema deve executar Navigate com replace. Persistência esperada: Nenhuma. Resultado observável: Redireciona para /painel. Em falha: Guard pode redirecionar antes para login.</x:v>
      </x:c>
      <x:c r="H145" s="34" t="str">
        <x:v>Sessão interna ativa</x:v>
      </x:c>
      <x:c r="I145" s="34" t="str">
        <x:v>Navegação/URL</x:v>
      </x:c>
      <x:c r="J145" s="34" t="str">
        <x:v>Navigate com replace</x:v>
      </x:c>
      <x:c r="K145" s="34" t="str">
        <x:v>Nenhuma</x:v>
      </x:c>
      <x:c r="L145" s="34" t="str">
        <x:v>Redireciona para /painel</x:v>
      </x:c>
      <x:c r="M145" s="34" t="str">
        <x:v>Guard pode redirecionar antes para login</x:v>
      </x:c>
      <x:c r="N145" s="34" t="str">
        <x:v>Código: src/pages/LineUpTV.tsx, src/App.tsx</x:v>
      </x:c>
      <x:c r="O145" s="34" t="str">
        <x:v>docs/modules/operacao-suporte.md</x:v>
      </x:c>
      <x:c r="P145" s="34" t="str">
        <x:v>Runtime</x:v>
      </x:c>
      <x:c r="Q145" s="34" t="str">
        <x:v>Blocked</x:v>
      </x:c>
      <x:c r="R145" s="34" t="str"/>
      <x:c r="S145" s="34" t="str">
        <x:v>Not Needed</x:v>
      </x:c>
      <x:c r="T145" s="34" t="str">
        <x:v>Not Applicable</x:v>
      </x:c>
      <x:c r="U145" s="34" t="str">
        <x:v>Passed</x:v>
      </x:c>
      <x:c r="V145" s="34" t="str">
        <x:v>Component behavior test: /line-up-tv redirects to /painel.</x:v>
      </x:c>
      <x:c r="W145" s="34" t="str">
        <x:v>src/pages/__tests__/LineUpTV.behavior.test.tsx</x:v>
      </x:c>
    </x:row>
    <x:row r="146" ht="54" customHeight="1">
      <x:c r="A146" s="33" t="str">
        <x:v>US-145</x:v>
      </x:c>
      <x:c r="B146" s="33" t="str">
        <x:v>operacao-suporte</x:v>
      </x:c>
      <x:c r="C146" s="33" t="str">
        <x:v>Exibir quadro TV</x:v>
      </x:c>
      <x:c r="D146" s="33" t="str">
        <x:v>Exibir quadro TV</x:v>
      </x:c>
      <x:c r="E146" s="33" t="str">
        <x:v>Usuário interno</x:v>
      </x:c>
      <x:c r="F146" s="34" t="str">
        <x:v>Como usuário interno, quero exibir quadro tv para concluir o objetivo operacional descrito pela interface.</x:v>
      </x:c>
      <x:c r="G146" s="34" t="str">
        <x:v>Ao exibir quadro tv, o sistema deve executar useQuery(['lineup-tv-display-v2']) → snapshot compartilhado. Persistência esperada: Mesmas leituras do Line-Up. Resultado observável: Auto-refresh 30 s; filtra atd; carrossel desktop/cards mobile; tenta fullscreen. Em falha: Fullscreen pode ser negado sem bloquear; erro de dados mostra mensagem.</x:v>
      </x:c>
      <x:c r="H146" s="34" t="str">
        <x:v>Sessão interna ativa; rota fora do AppLayout</x:v>
      </x:c>
      <x:c r="I146" s="34" t="str">
        <x:v>URL/atalho do Painel</x:v>
      </x:c>
      <x:c r="J146" s="34" t="str">
        <x:v>useQuery(['lineup-tv-display-v2']) → snapshot compartilhado</x:v>
      </x:c>
      <x:c r="K146" s="34" t="str">
        <x:v>Mesmas leituras do Line-Up</x:v>
      </x:c>
      <x:c r="L146" s="34" t="str">
        <x:v>Auto-refresh 30 s; filtra atd; carrossel desktop/cards mobile; tenta fullscreen</x:v>
      </x:c>
      <x:c r="M146" s="34" t="str">
        <x:v>Fullscreen pode ser negado sem bloquear; erro de dados mostra mensagem</x:v>
      </x:c>
      <x:c r="N146" s="34" t="str">
        <x:v>Código: src/pages/LineUpTVDisplay.tsx, src/services/lineup.ts, src/App.tsx</x:v>
      </x:c>
      <x:c r="O146" s="34" t="str">
        <x:v>docs/modules/operacao-suporte.md</x:v>
      </x:c>
      <x:c r="P146" s="34" t="str">
        <x:v>Runtime</x:v>
      </x:c>
      <x:c r="Q146" s="34" t="str">
        <x:v>Blocked</x:v>
      </x:c>
      <x:c r="R146" s="34" t="str"/>
      <x:c r="S146" s="34" t="str">
        <x:v>Not Needed</x:v>
      </x:c>
      <x:c r="T146" s="34" t="str">
        <x:v>Not Applicable</x:v>
      </x:c>
      <x:c r="U146" s="34" t="str">
        <x:v>Passed</x:v>
      </x:c>
      <x:c r="V146" s="34" t="str">
        <x:v>Component behavior test: LineUpTVDisplay renders loading, error and snapshot states.</x:v>
      </x:c>
      <x:c r="W146" s="34" t="str">
        <x:v>src/pages/__tests__/LineUpTV.behavior.test.tsx</x:v>
      </x:c>
    </x:row>
    <x:row r="147" ht="54" customHeight="1">
      <x:c r="A147" s="33" t="str">
        <x:v>US-146</x:v>
      </x:c>
      <x:c r="B147" s="33" t="str">
        <x:v>operacao-suporte</x:v>
      </x:c>
      <x:c r="C147" s="33" t="str">
        <x:v>Listar usuários</x:v>
      </x:c>
      <x:c r="D147" s="33" t="str">
        <x:v>Listar usuários</x:v>
      </x:c>
      <x:c r="E147" s="33" t="str">
        <x:v>Administrador</x:v>
      </x:c>
      <x:c r="F147" s="34" t="str">
        <x:v>Como administrador, quero listar usuários para concluir o objetivo operacional descrito pela interface.</x:v>
      </x:c>
      <x:c r="G147" s="34" t="str">
        <x:v>Ao listar usuários, o sistema deve executar listAllUserProfiles. Persistência esperada: Leitura de user_profiles. Resultado observável: Cache ['admin-users']. Em falha: Erro exibe InlineError.</x:v>
      </x:c>
      <x:c r="H147" s="34" t="str">
        <x:v>ProtectedRoute adminOnly e RLS admin</x:v>
      </x:c>
      <x:c r="I147" s="34" t="str">
        <x:v>Aba Usuários</x:v>
      </x:c>
      <x:c r="J147" s="34" t="str">
        <x:v>listAllUserProfiles</x:v>
      </x:c>
      <x:c r="K147" s="34" t="str">
        <x:v>Leitura de user_profiles</x:v>
      </x:c>
      <x:c r="L147" s="34" t="str">
        <x:v>Cache ['admin-users']</x:v>
      </x:c>
      <x:c r="M147" s="34" t="str">
        <x:v>Erro exibe InlineError</x:v>
      </x:c>
      <x:c r="N147" s="34" t="str">
        <x:v>Código: src/pages/AdminUsuarios.tsx, src/services/adminUsers.ts, src/components/layout/ProtectedRoute.tsx</x:v>
      </x:c>
      <x:c r="O147" s="34" t="str">
        <x:v>docs/modules/operacao-suporte.md</x:v>
      </x:c>
      <x:c r="P147" s="34" t="str">
        <x:v>Runtime</x:v>
      </x:c>
      <x:c r="Q147" s="34" t="str">
        <x:v>Blocked</x:v>
      </x:c>
      <x:c r="R147" s="34" t="str"/>
      <x:c r="S147" s="34" t="str">
        <x:v>Not Needed</x:v>
      </x:c>
      <x:c r="T147" s="34" t="str">
        <x:v>Not Applicable</x:v>
      </x:c>
      <x:c r="U147" s="34" t="str">
        <x:v>Passed</x:v>
      </x:c>
      <x:c r="V147" s="34" t="str">
        <x:v>Component behavior test: admin user list renders names, roles and active/inactive status.</x:v>
      </x:c>
      <x:c r="W147" s="34" t="str">
        <x:v>src/pages/__tests__/AdminUsuarios.behavior.test.tsx</x:v>
      </x:c>
    </x:row>
    <x:row r="148" ht="54" customHeight="1">
      <x:c r="A148" s="33" t="str">
        <x:v>US-147</x:v>
      </x:c>
      <x:c r="B148" s="33" t="str">
        <x:v>operacao-suporte</x:v>
      </x:c>
      <x:c r="C148" s="33" t="str">
        <x:v>Alterar role/ativo</x:v>
      </x:c>
      <x:c r="D148" s="33" t="str">
        <x:v>Alterar role/ativo</x:v>
      </x:c>
      <x:c r="E148" s="33" t="str">
        <x:v>Usuário interno</x:v>
      </x:c>
      <x:c r="F148" s="34" t="str">
        <x:v>Como usuário interno, quero alterar role/ativo para concluir o objetivo operacional descrito pela interface.</x:v>
      </x:c>
      <x:c r="G148" s="34" t="str">
        <x:v>Ao alterar role/ativo, o sistema deve executar updateUserProfile(id, updates). Persistência esperada: Update direto em user_profiles; trigger impede alteração sensível por não admin. Resultado observável: Invalida ['admin-users']. Em falha: Não há optimistic lock; concorrência usa last write wins; 42501 bloqueia autor indevido.</x:v>
      </x:c>
      <x:c r="H148" s="34" t="str">
        <x:v>Admin; perfil alvo</x:v>
      </x:c>
      <x:c r="I148" s="34" t="str">
        <x:v>Select ou Ativar/Desativar</x:v>
      </x:c>
      <x:c r="J148" s="34" t="str">
        <x:v>updateUserProfile(id, updates)</x:v>
      </x:c>
      <x:c r="K148" s="34" t="str">
        <x:v>Update direto em user_profiles; trigger impede alteração sensível por não admin</x:v>
      </x:c>
      <x:c r="L148" s="34" t="str">
        <x:v>Invalida ['admin-users']</x:v>
      </x:c>
      <x:c r="M148" s="34" t="str">
        <x:v>Não há optimistic lock; concorrência usa last write wins; 42501 bloqueia autor indevido</x:v>
      </x:c>
      <x:c r="N148" s="34" t="str">
        <x:v>Código: src/services/adminUsers.ts, supabase/migrations/20260530102906_fix_user_profile_privilege_escalation.sql</x:v>
      </x:c>
      <x:c r="O148" s="34" t="str">
        <x:v>docs/modules/operacao-suporte.md</x:v>
      </x:c>
      <x:c r="P148" s="34" t="str">
        <x:v>Runtime</x:v>
      </x:c>
      <x:c r="Q148" s="34" t="str">
        <x:v>Blocked</x:v>
      </x:c>
      <x:c r="R148" s="34" t="str"/>
      <x:c r="S148" s="34" t="str">
        <x:v>Not Needed</x:v>
      </x:c>
      <x:c r="T148" s="34" t="str">
        <x:v>Not Applicable</x:v>
      </x:c>
      <x:c r="U148" s="34" t="str">
        <x:v>Passed</x:v>
      </x:c>
      <x:c r="V148" s="34" t="str">
        <x:v>Component behavior test: toggling active and changing role call updateUserProfile with the right payload.</x:v>
      </x:c>
      <x:c r="W148" s="34" t="str">
        <x:v>src/pages/__tests__/AdminUsuarios.behavior.test.tsx</x:v>
      </x:c>
    </x:row>
    <x:row r="149" ht="54" customHeight="1">
      <x:c r="A149" s="33" t="str">
        <x:v>US-148</x:v>
      </x:c>
      <x:c r="B149" s="33" t="str">
        <x:v>operacao-suporte</x:v>
      </x:c>
      <x:c r="C149" s="33" t="str">
        <x:v>Filtrar/paginar audit log</x:v>
      </x:c>
      <x:c r="D149" s="33" t="str">
        <x:v>Filtrar/paginar audit log</x:v>
      </x:c>
      <x:c r="E149" s="33" t="str">
        <x:v>Usuário interno</x:v>
      </x:c>
      <x:c r="F149" s="34" t="str">
        <x:v>Como usuário interno, quero filtrar/paginar audit log para concluir o objetivo operacional descrito pela interface.</x:v>
      </x:c>
      <x:c r="G149" s="34" t="str">
        <x:v>Ao filtrar/paginar audit log, o sistema deve executar Query direta com count e lookup dos autores. Persistência esperada: Leitura de audit_logs e user_profiles. Resultado observável: Cache ['admin-audit-logs', logFilters]; páginas de 50. Em falha: Falha da query lança; UI não renderiza InlineError específico para logs.</x:v>
      </x:c>
      <x:c r="H149" s="34" t="str">
        <x:v>Admin na rota; aba Logs</x:v>
      </x:c>
      <x:c r="I149" s="34" t="str">
        <x:v>Filtros de módulo, autor/período e paginação</x:v>
      </x:c>
      <x:c r="J149" s="34" t="str">
        <x:v>Query direta com count e lookup dos autores</x:v>
      </x:c>
      <x:c r="K149" s="34" t="str">
        <x:v>Leitura de audit_logs e user_profiles</x:v>
      </x:c>
      <x:c r="L149" s="34" t="str">
        <x:v>Cache ['admin-audit-logs', logFilters]; páginas de 50</x:v>
      </x:c>
      <x:c r="M149" s="34" t="str">
        <x:v>Falha da query lança; UI não renderiza InlineError específico para logs</x:v>
      </x:c>
      <x:c r="N149" s="34" t="str">
        <x:v>Código: src/pages/AdminUsuarios.tsx, supabase/migrations/014_lock_down_financial_reads_and_audit_writes.sql</x:v>
      </x:c>
      <x:c r="O149" s="34" t="str">
        <x:v>docs/modules/operacao-suporte.md</x:v>
      </x:c>
      <x:c r="P149" s="34" t="str">
        <x:v>Runtime</x:v>
      </x:c>
      <x:c r="Q149" s="34" t="str">
        <x:v>Failed</x:v>
      </x:c>
      <x:c r="R149" s="34" t="str">
        <x:v>DEF-061</x:v>
      </x:c>
      <x:c r="S149" s="34" t="str">
        <x:v>Fixed</x:v>
      </x:c>
      <x:c r="T149" s="34" t="str">
        <x:v>Passed</x:v>
      </x:c>
      <x:c r="U149" s="34" t="str">
        <x:v>Passed</x:v>
      </x:c>
      <x:c r="V149" s="34" t="str">
        <x:v>Post-fix focused tests passed: DEF-061</x:v>
      </x:c>
      <x:c r="W149" s="34" t="str">
        <x:v>Falha ao resolver autores do log de auditoria era silenciada</x:v>
      </x:c>
    </x:row>
    <x:row r="150" ht="54" customHeight="1">
      <x:c r="A150" s="33" t="str">
        <x:v>US-149</x:v>
      </x:c>
      <x:c r="B150" s="33" t="str">
        <x:v>operacao-suporte</x:v>
      </x:c>
      <x:c r="C150" s="33" t="str">
        <x:v>Carregar métricas</x:v>
      </x:c>
      <x:c r="D150" s="33" t="str">
        <x:v>Carregar métricas</x:v>
      </x:c>
      <x:c r="E150" s="33" t="str">
        <x:v>Usuário interno</x:v>
      </x:c>
      <x:c r="F150" s="34" t="str">
        <x:v>Como usuário interno, quero carregar métricas para concluir o objetivo operacional descrito pela interface.</x:v>
      </x:c>
      <x:c r="G150" s="34" t="str">
        <x:v>Ao carregar métricas, o sistema deve executar Três leituras paralelas. Persistência esperada: voyages, audit_logs de pix_reconciliation, invoices. Resultado observável: Cache ['admin-metrics'], stale 60 s. Em falha: Função não verifica erros individuais; ausência/falha pode aparecer como -.</x:v>
      </x:c>
      <x:c r="H150" s="34" t="str">
        <x:v>Aba Métricas</x:v>
      </x:c>
      <x:c r="I150" s="34" t="str">
        <x:v>Troca de aba</x:v>
      </x:c>
      <x:c r="J150" s="34" t="str">
        <x:v>Três leituras paralelas</x:v>
      </x:c>
      <x:c r="K150" s="34" t="str">
        <x:v>voyages, audit_logs de pix_reconciliation, invoices</x:v>
      </x:c>
      <x:c r="L150" s="34" t="str">
        <x:v>Cache ['admin-metrics'], stale 60 s</x:v>
      </x:c>
      <x:c r="M150" s="34" t="str">
        <x:v>Função não verifica erros individuais; ausência/falha pode aparecer como -</x:v>
      </x:c>
      <x:c r="N150" s="34" t="str">
        <x:v>Código: src/pages/AdminUsuarios.tsx</x:v>
      </x:c>
      <x:c r="O150" s="34" t="str">
        <x:v>docs/modules/operacao-suporte.md</x:v>
      </x:c>
      <x:c r="P150" s="34" t="str">
        <x:v>Runtime</x:v>
      </x:c>
      <x:c r="Q150" s="34" t="str">
        <x:v>Failed</x:v>
      </x:c>
      <x:c r="R150" s="34" t="str">
        <x:v>DEF-062</x:v>
      </x:c>
      <x:c r="S150" s="34" t="str">
        <x:v>Fixed</x:v>
      </x:c>
      <x:c r="T150" s="34" t="str">
        <x:v>Passed</x:v>
      </x:c>
      <x:c r="U150" s="34" t="str">
        <x:v>Passed</x:v>
      </x:c>
      <x:c r="V150" s="34" t="str">
        <x:v>Post-fix focused tests passed: DEF-062</x:v>
      </x:c>
      <x:c r="W150" s="34" t="str">
        <x:v>Metricas do sistema ignoravam erros das tres consultas</x:v>
      </x:c>
    </x:row>
    <x:row r="151" ht="54" customHeight="1">
      <x:c r="A151" s="33" t="str">
        <x:v>US-150</x:v>
      </x:c>
      <x:c r="B151" s="33" t="str">
        <x:v>operacao-suporte</x:v>
      </x:c>
      <x:c r="C151" s="33" t="str">
        <x:v>Navegar e sair</x:v>
      </x:c>
      <x:c r="D151" s="33" t="str">
        <x:v>Navegar e sair</x:v>
      </x:c>
      <x:c r="E151" s="33" t="str">
        <x:v>Usuário interno</x:v>
      </x:c>
      <x:c r="F151" s="34" t="str">
        <x:v>Como usuário interno, quero navegar e sair para concluir o objetivo operacional descrito pela interface.</x:v>
      </x:c>
      <x:c r="G151" s="34" t="str">
        <x:v>Ao navegar e sair, o sistema deve executar AppLayout/HeaderInfoBar; signOut → /login. Persistência esperada: Supabase Auth/storage de sessão. Resultado observável: Limpa sessão conforme useAuth; badges vêm de ['op-count', ...]. Em falha: Falha de autorização real deve ser resolvida por RLS/RPC, não pelo menu.</x:v>
      </x:c>
      <x:c r="H151" s="34" t="str">
        <x:v>Sessão interna ativa</x:v>
      </x:c>
      <x:c r="I151" s="34" t="str">
        <x:v>Menus, marca, Header e botão Sair</x:v>
      </x:c>
      <x:c r="J151" s="34" t="str">
        <x:v>AppLayout/HeaderInfoBar; signOut → /login</x:v>
      </x:c>
      <x:c r="K151" s="34" t="str">
        <x:v>Supabase Auth/storage de sessão</x:v>
      </x:c>
      <x:c r="L151" s="34" t="str">
        <x:v>Limpa sessão conforme useAuth; badges vêm de ['op-count', ...]</x:v>
      </x:c>
      <x:c r="M151" s="34" t="str">
        <x:v>Falha de autorização real deve ser resolvida por RLS/RPC, não pelo menu</x:v>
      </x:c>
      <x:c r="N151" s="34" t="str">
        <x:v>Código: src/components/layout/AppLayout.tsx, src/components/layout/HeaderInfoBar.tsx, src/components/layout/appLayoutNav.ts, src/hooks/useOperationalCounts.ts; Teste: src/components/layout/__tests__/AppLayout.test.ts</x:v>
      </x:c>
      <x:c r="O151" s="34" t="str">
        <x:v>docs/modules/operacao-suporte.md</x:v>
      </x:c>
      <x:c r="P151" s="34" t="str">
        <x:v>Automated</x:v>
      </x:c>
      <x:c r="Q151" s="34" t="str">
        <x:v>Passed</x:v>
      </x:c>
      <x:c r="R151" s="34" t="str"/>
      <x:c r="S151" s="34" t="str">
        <x:v>Not Needed</x:v>
      </x:c>
      <x:c r="T151" s="34" t="str">
        <x:v>Not Applicable</x:v>
      </x:c>
      <x:c r="U151" s="34" t="str">
        <x:v>Passed</x:v>
      </x:c>
      <x:c r="V151" s="34" t="str">
        <x:v>npm test -- --maxWorkers=4 — 598 passed, 9 skipped; focused evidence named in baseline</x:v>
      </x:c>
      <x:c r="W151" s="34" t="str"/>
    </x:row>
    <x:row r="152" ht="54" customHeight="1">
      <x:c r="A152" s="33" t="str">
        <x:v>US-151</x:v>
      </x:c>
      <x:c r="B152" s="33" t="str">
        <x:v>portal-cliente</x:v>
      </x:c>
      <x:c r="C152" s="33" t="str">
        <x:v>/portal/login</x:v>
      </x:c>
      <x:c r="D152" s="33" t="str">
        <x:v>resolver CNPJ/CPF</x:v>
      </x:c>
      <x:c r="E152" s="33" t="str">
        <x:v>Cliente autenticado</x:v>
      </x:c>
      <x:c r="F152" s="34" t="str">
        <x:v>Como cliente autenticado, quero resolver cnpj/cpf para concluir o objetivo operacional descrito pela interface.</x:v>
      </x:c>
      <x:c r="G152" s="34" t="str">
        <x:v>Ao resolver cnpj/cpf, o sistema deve executar portalResolveLogin(login) antes do Auth. Persistência esperada: RPC portal_resolve_login; lê conta ativa por login_cnpj; registra hash em portal_login_resolution_attempts. Resultado observável: Substitui o identificador pelo portal_email; nenhuma query React Query. Em falha: 8 tentativas/10 min geram P0429; vazio/desconhecido gera 28000 genérico.</x:v>
      </x:c>
      <x:c r="H152" s="34" t="str">
        <x:v>Valor sem @, com 11 ou 14 dígitos</x:v>
      </x:c>
      <x:c r="I152" s="34" t="str">
        <x:v>PortalLogin → usePortalAuth.signIn</x:v>
      </x:c>
      <x:c r="J152" s="34" t="str">
        <x:v>portalResolveLogin(login) antes do Auth</x:v>
      </x:c>
      <x:c r="K152" s="34" t="str">
        <x:v>RPC portal_resolve_login; lê conta ativa por login_cnpj; registra hash em portal_login_resolution_attempts</x:v>
      </x:c>
      <x:c r="L152" s="34" t="str">
        <x:v>Substitui o identificador pelo portal_email; nenhuma query React Query</x:v>
      </x:c>
      <x:c r="M152" s="34" t="str">
        <x:v>8 tentativas/10 min geram P0429; vazio/desconhecido gera 28000 genérico</x:v>
      </x:c>
      <x:c r="N152" s="34" t="str">
        <x:v>Teste: src/hooks/__tests__/usePortalAuth.test.tsx; Teste de contrato SQL: src/services/__tests__/portalResolveLoginHardeningMigration.test.ts</x:v>
      </x:c>
      <x:c r="O152" s="34" t="str">
        <x:v>docs/modules/portal-cliente.md</x:v>
      </x:c>
      <x:c r="P152" s="34" t="str">
        <x:v>Automated — SQL contract</x:v>
      </x:c>
      <x:c r="Q152" s="34" t="str">
        <x:v>Passed</x:v>
      </x:c>
      <x:c r="R152" s="34" t="str"/>
      <x:c r="S152" s="34" t="str">
        <x:v>Not Needed</x:v>
      </x:c>
      <x:c r="T152" s="34" t="str">
        <x:v>Not Applicable</x:v>
      </x:c>
      <x:c r="U152" s="34" t="str">
        <x:v>Passed</x:v>
      </x:c>
      <x:c r="V152" s="34" t="str">
        <x:v>npm test -- --maxWorkers=4 — 598 passed, 9 skipped; focused evidence named in baseline</x:v>
      </x:c>
      <x:c r="W152" s="34" t="str"/>
    </x:row>
    <x:row r="153" ht="54" customHeight="1">
      <x:c r="A153" s="33" t="str">
        <x:v>US-152</x:v>
      </x:c>
      <x:c r="B153" s="33" t="str">
        <x:v>portal-cliente</x:v>
      </x:c>
      <x:c r="C153" s="33" t="str">
        <x:v>/portal/login</x:v>
      </x:c>
      <x:c r="D153" s="33" t="str">
        <x:v>usar email e autenticar senha</x:v>
      </x:c>
      <x:c r="E153" s="33" t="str">
        <x:v>Cliente autenticado</x:v>
      </x:c>
      <x:c r="F153" s="34" t="str">
        <x:v>Como cliente autenticado, quero usar email e autenticar senha para concluir o objetivo operacional descrito pela interface.</x:v>
      </x:c>
      <x:c r="G153" s="34" t="str">
        <x:v>Ao usar email e autenticar senha, o sistema deve executar Chama diretamente supabasePortal.auth.signInWithPassword({ email, password }). Persistência esperada: Supabase Auth; sessão persistida pelo cliente supabasePortal. Resultado observável: Sessão em storage isolado td-portal-auth; depois carrega overview. Em falha: Erro de Auth é convertido pela página em credencial genérica.</x:v>
      </x:c>
      <x:c r="H153" s="34" t="str">
        <x:v>Identificador com @ ou valor que não foi reconhecido como documento</x:v>
      </x:c>
      <x:c r="I153" s="34" t="str">
        <x:v>usePortalAuth.signIn</x:v>
      </x:c>
      <x:c r="J153" s="34" t="str">
        <x:v>Chama diretamente supabasePortal.auth.signInWithPassword({ email, password })</x:v>
      </x:c>
      <x:c r="K153" s="34" t="str">
        <x:v>Supabase Auth; sessão persistida pelo cliente supabasePortal</x:v>
      </x:c>
      <x:c r="L153" s="34" t="str">
        <x:v>Sessão em storage isolado td-portal-auth; depois carrega overview</x:v>
      </x:c>
      <x:c r="M153" s="34" t="str">
        <x:v>Erro de Auth é convertido pela página em credencial genérica</x:v>
      </x:c>
      <x:c r="N153" s="34" t="str">
        <x:v>Código: src/hooks/usePortalAuth.tsx, src/services/supabase.ts; Runtime não executado</x:v>
      </x:c>
      <x:c r="O153" s="34" t="str">
        <x:v>docs/modules/portal-cliente.md</x:v>
      </x:c>
      <x:c r="P153" s="34" t="str">
        <x:v>Runtime</x:v>
      </x:c>
      <x:c r="Q153" s="34" t="str">
        <x:v>Blocked</x:v>
      </x:c>
      <x:c r="R153" s="34" t="str"/>
      <x:c r="S153" s="34" t="str">
        <x:v>Not Needed</x:v>
      </x:c>
      <x:c r="T153" s="34" t="str">
        <x:v>Not Applicable</x:v>
      </x:c>
      <x:c r="U153" s="34" t="str">
        <x:v>Passed</x:v>
      </x:c>
      <x:c r="V153" s="34" t="str">
        <x:v>usePortalAuth tests cover anonymous CNPJ resolver normalization and P0429 rate-limit propagation before login.</x:v>
      </x:c>
      <x:c r="W153" s="34" t="str">
        <x:v>src/hooks/__tests__/usePortalAuth.test.tsx</x:v>
      </x:c>
    </x:row>
    <x:row r="154" ht="54" customHeight="1">
      <x:c r="A154" s="33" t="str">
        <x:v>US-153</x:v>
      </x:c>
      <x:c r="B154" s="33" t="str">
        <x:v>portal-cliente</x:v>
      </x:c>
      <x:c r="C154" s="33" t="str">
        <x:v>Inicialização</x:v>
      </x:c>
      <x:c r="D154" s="33" t="str">
        <x:v>hidratar sessão e overview</x:v>
      </x:c>
      <x:c r="E154" s="33" t="str">
        <x:v>Usuário interno</x:v>
      </x:c>
      <x:c r="F154" s="34" t="str">
        <x:v>Como usuário interno, quero hidratar sessão e overview para concluir o objetivo operacional descrito pela interface.</x:v>
      </x:c>
      <x:c r="G154" s="34" t="str">
        <x:v>Ao hidratar sessão e overview, o sistema deve executar getSession() → fetchOverview(). Persistência esperada: Supabase Auth; RPC portal_get_session_overview_v2; UPDATE de last_login_at. Resultado observável: Define overview e isAuthenticated=Boolean(overview). Em falha: Sessão sem Conta de Portal ativa gera 28000 e limpa overview; outras falhas não são exibidas.</x:v>
      </x:c>
      <x:c r="H154" s="34" t="str">
        <x:v>Aplicação montada; sessão Portal persistida opcional</x:v>
      </x:c>
      <x:c r="I154" s="34" t="str">
        <x:v>PortalAuthProvider</x:v>
      </x:c>
      <x:c r="J154" s="34" t="str">
        <x:v>getSession() → fetchOverview()</x:v>
      </x:c>
      <x:c r="K154" s="34" t="str">
        <x:v>Supabase Auth; RPC portal_get_session_overview_v2; UPDATE de last_login_at</x:v>
      </x:c>
      <x:c r="L154" s="34" t="str">
        <x:v>Define overview e isAuthenticated=Boolean(overview)</x:v>
      </x:c>
      <x:c r="M154" s="34" t="str">
        <x:v>Sessão sem Conta de Portal ativa gera 28000 e limpa overview; outras falhas não são exibidas</x:v>
      </x:c>
      <x:c r="N154" s="34" t="str">
        <x:v>Código: src/hooks/usePortalAuth.tsx; Runtime não executado</x:v>
      </x:c>
      <x:c r="O154" s="34" t="str">
        <x:v>docs/modules/portal-cliente.md</x:v>
      </x:c>
      <x:c r="P154" s="34" t="str">
        <x:v>Runtime</x:v>
      </x:c>
      <x:c r="Q154" s="34" t="str">
        <x:v>Blocked</x:v>
      </x:c>
      <x:c r="R154" s="34" t="str"/>
      <x:c r="S154" s="34" t="str">
        <x:v>Not Needed</x:v>
      </x:c>
      <x:c r="T154" s="34" t="str">
        <x:v>Not Applicable</x:v>
      </x:c>
      <x:c r="U154" s="34" t="str">
        <x:v>Passed</x:v>
      </x:c>
      <x:c r="V154" s="34" t="str">
        <x:v>PortalAuthProvider test: hydrate loads the session overview when a Supabase session exists and stays anonymous otherwise.</x:v>
      </x:c>
      <x:c r="W154" s="34" t="str">
        <x:v>src/hooks/__tests__/usePortalAuthHydrate.behavior.test.tsx</x:v>
      </x:c>
    </x:row>
    <x:row r="155" ht="54" customHeight="1">
      <x:c r="A155" s="33" t="str">
        <x:v>US-154</x:v>
      </x:c>
      <x:c r="B155" s="33" t="str">
        <x:v>portal-cliente</x:v>
      </x:c>
      <x:c r="C155" s="33" t="str">
        <x:v>Layout</x:v>
      </x:c>
      <x:c r="D155" s="33" t="str">
        <x:v>sair</x:v>
      </x:c>
      <x:c r="E155" s="33" t="str">
        <x:v>Usuário interno</x:v>
      </x:c>
      <x:c r="F155" s="34" t="str">
        <x:v>Como usuário interno, quero sair para concluir o objetivo operacional descrito pela interface.</x:v>
      </x:c>
      <x:c r="G155" s="34" t="str">
        <x:v>Ao sair, o sistema deve executar Limpa overview antes de signOutSupabaseClient; chamadas concorrentes compartilham uma Promise. Persistência esperada: Supabase Auth signOut. Resultado observável: Guard passa a considerar a sessão não autenticada. Em falha: Ignora apenas erro conhecido de lock roubado; demais erros propagam.</x:v>
      </x:c>
      <x:c r="H155" s="34" t="str">
        <x:v>Sessão/overview presente</x:v>
      </x:c>
      <x:c r="I155" s="34" t="str">
        <x:v>Botão “Sair” em PortalLayout</x:v>
      </x:c>
      <x:c r="J155" s="34" t="str">
        <x:v>Limpa overview antes de signOutSupabaseClient; chamadas concorrentes compartilham uma Promise</x:v>
      </x:c>
      <x:c r="K155" s="34" t="str">
        <x:v>Supabase Auth signOut</x:v>
      </x:c>
      <x:c r="L155" s="34" t="str">
        <x:v>Guard passa a considerar a sessão não autenticada</x:v>
      </x:c>
      <x:c r="M155" s="34" t="str">
        <x:v>Ignora apenas erro conhecido de lock roubado; demais erros propagam</x:v>
      </x:c>
      <x:c r="N155" s="34" t="str">
        <x:v>Teste: src/services/__tests__/supabaseAuth.test.ts; Código: src/components/layout/PortalLayout.tsx</x:v>
      </x:c>
      <x:c r="O155" s="34" t="str">
        <x:v>docs/modules/portal-cliente.md</x:v>
      </x:c>
      <x:c r="P155" s="34" t="str">
        <x:v>Automated</x:v>
      </x:c>
      <x:c r="Q155" s="34" t="str">
        <x:v>Passed</x:v>
      </x:c>
      <x:c r="R155" s="34" t="str"/>
      <x:c r="S155" s="34" t="str">
        <x:v>Not Needed</x:v>
      </x:c>
      <x:c r="T155" s="34" t="str">
        <x:v>Not Applicable</x:v>
      </x:c>
      <x:c r="U155" s="34" t="str">
        <x:v>Passed</x:v>
      </x:c>
      <x:c r="V155" s="34" t="str">
        <x:v>npm test -- --maxWorkers=4 — 598 passed, 9 skipped; focused evidence named in baseline</x:v>
      </x:c>
      <x:c r="W155" s="34" t="str"/>
    </x:row>
    <x:row r="156" ht="54" customHeight="1">
      <x:c r="A156" s="33" t="str">
        <x:v>US-155</x:v>
      </x:c>
      <x:c r="B156" s="33" t="str">
        <x:v>portal-cliente</x:v>
      </x:c>
      <x:c r="C156" s="33" t="str">
        <x:v>/portal/esqueci-senha</x:v>
      </x:c>
      <x:c r="D156" s="33" t="str">
        <x:v>solicitar recuperação</x:v>
      </x:c>
      <x:c r="E156" s="33" t="str">
        <x:v>Cliente autenticado</x:v>
      </x:c>
      <x:c r="F156" s="34" t="str">
        <x:v>Como cliente autenticado, quero solicitar recuperação para concluir o objetivo operacional descrito pela interface.</x:v>
      </x:c>
      <x:c r="G156" s="34" t="str">
        <x:v>Ao solicitar recuperação, o sistema deve executar Documento → resolver; email → direto; resetPasswordForEmail com redirect. Persistência esperada: RPC resolver quando necessário; Supabase Auth recovery. Resultado observável: Troca para tela de resposta genérica. Em falha: P0429 explícito; demais falhas preservam mensagem não enumerável.</x:v>
      </x:c>
      <x:c r="H156" s="34" t="str">
        <x:v>CNPJ/CPF ou email preenchido</x:v>
      </x:c>
      <x:c r="I156" s="34" t="str">
        <x:v>PortalForgotPassword.handleSubmit</x:v>
      </x:c>
      <x:c r="J156" s="34" t="str">
        <x:v>Documento → resolver; email → direto; resetPasswordForEmail com redirect</x:v>
      </x:c>
      <x:c r="K156" s="34" t="str">
        <x:v>RPC resolver quando necessário; Supabase Auth recovery</x:v>
      </x:c>
      <x:c r="L156" s="34" t="str">
        <x:v>Troca para tela de resposta genérica</x:v>
      </x:c>
      <x:c r="M156" s="34" t="str">
        <x:v>P0429 explícito; demais falhas preservam mensagem não enumerável</x:v>
      </x:c>
      <x:c r="N156" s="34" t="str">
        <x:v>Código: src/pages/PortalForgotPassword.tsx; Runtime não executado</x:v>
      </x:c>
      <x:c r="O156" s="34" t="str">
        <x:v>docs/modules/portal-cliente.md</x:v>
      </x:c>
      <x:c r="P156" s="34" t="str">
        <x:v>Runtime</x:v>
      </x:c>
      <x:c r="Q156" s="34" t="str">
        <x:v>Blocked</x:v>
      </x:c>
      <x:c r="R156" s="34" t="str"/>
      <x:c r="S156" s="34" t="str">
        <x:v>Not Needed</x:v>
      </x:c>
      <x:c r="T156" s="34" t="str">
        <x:v>Not Applicable</x:v>
      </x:c>
      <x:c r="U156" s="34" t="str">
        <x:v>Passed</x:v>
      </x:c>
      <x:c r="V156" s="34" t="str">
        <x:v>PortalForgotPassword test: submitting calls resetPasswordForEmail and confirms the sent-link state.</x:v>
      </x:c>
      <x:c r="W156" s="34" t="str">
        <x:v>src/pages/__tests__/PortalRecovery.behavior.test.tsx</x:v>
      </x:c>
    </x:row>
    <x:row r="157" ht="54" customHeight="1">
      <x:c r="A157" s="33" t="str">
        <x:v>US-156</x:v>
      </x:c>
      <x:c r="B157" s="33" t="str">
        <x:v>portal-cliente</x:v>
      </x:c>
      <x:c r="C157" s="33" t="str">
        <x:v>/portal/recuperar-senha</x:v>
      </x:c>
      <x:c r="D157" s="33" t="str">
        <x:v>estabelecer sessão de recovery</x:v>
      </x:c>
      <x:c r="E157" s="33" t="str">
        <x:v>Cliente autenticado</x:v>
      </x:c>
      <x:c r="F157" s="34" t="str">
        <x:v>Como cliente autenticado, quero estabelecer sessão de recovery para concluir o objetivo operacional descrito pela interface.</x:v>
      </x:c>
      <x:c r="G157" s="34" t="str">
        <x:v>Ao estabelecer sessão de recovery, o sistema deve executar supabasePortal.auth.setSession; remove hash com history.replaceState. Persistência esperada: Supabase Auth; storage isolado. Resultado observável: Habilita formulário somente após sessão válida. Em falha: Link ausente, expirado ou setSession falho mostra mensagem única.</x:v>
      </x:c>
      <x:c r="H157" s="34" t="str">
        <x:v>Hash com type=recovery, access e refresh tokens</x:v>
      </x:c>
      <x:c r="I157" s="34" t="str">
        <x:v>parseRecoveryTokens/useEffect</x:v>
      </x:c>
      <x:c r="J157" s="34" t="str">
        <x:v>supabasePortal.auth.setSession; remove hash com history.replaceState</x:v>
      </x:c>
      <x:c r="K157" s="34" t="str">
        <x:v>Supabase Auth; storage isolado</x:v>
      </x:c>
      <x:c r="L157" s="34" t="str">
        <x:v>Habilita formulário somente após sessão válida</x:v>
      </x:c>
      <x:c r="M157" s="34" t="str">
        <x:v>Link ausente, expirado ou setSession falho mostra mensagem única</x:v>
      </x:c>
      <x:c r="N157" s="34" t="str">
        <x:v>Código: src/pages/PortalResetPassword.tsx; Runtime não executado</x:v>
      </x:c>
      <x:c r="O157" s="34" t="str">
        <x:v>docs/modules/portal-cliente.md</x:v>
      </x:c>
      <x:c r="P157" s="34" t="str">
        <x:v>Runtime</x:v>
      </x:c>
      <x:c r="Q157" s="34" t="str">
        <x:v>Blocked</x:v>
      </x:c>
      <x:c r="R157" s="34" t="str"/>
      <x:c r="S157" s="34" t="str">
        <x:v>Not Needed</x:v>
      </x:c>
      <x:c r="T157" s="34" t="str">
        <x:v>Not Applicable</x:v>
      </x:c>
      <x:c r="U157" s="34" t="str">
        <x:v>Passed</x:v>
      </x:c>
      <x:c r="V157" s="34" t="str">
        <x:v>PortalResetPassword test: invalid link shows the error; valid hash tokens establish the recovery session via setSession.</x:v>
      </x:c>
      <x:c r="W157" s="34" t="str">
        <x:v>src/pages/__tests__/PortalRecovery.behavior.test.tsx</x:v>
      </x:c>
    </x:row>
    <x:row r="158" ht="54" customHeight="1">
      <x:c r="A158" s="33" t="str">
        <x:v>US-157</x:v>
      </x:c>
      <x:c r="B158" s="33" t="str">
        <x:v>portal-cliente</x:v>
      </x:c>
      <x:c r="C158" s="33" t="str">
        <x:v>/portal/recuperar-senha</x:v>
      </x:c>
      <x:c r="D158" s="33" t="str">
        <x:v>atualizar senha</x:v>
      </x:c>
      <x:c r="E158" s="33" t="str">
        <x:v>Cliente autenticado</x:v>
      </x:c>
      <x:c r="F158" s="34" t="str">
        <x:v>Como cliente autenticado, quero atualizar senha para concluir o objetivo operacional descrito pela interface.</x:v>
      </x:c>
      <x:c r="G158" s="34" t="str">
        <x:v>Ao atualizar senha, o sistema deve executar supabasePortal.auth.updateUser({ password }). Persistência esperada: Supabase Auth. Resultado observável: Navega para /portal/login. Em falha: Validação local ou mensagem retornada pelo Auth.</x:v>
      </x:c>
      <x:c r="H158" s="34" t="str">
        <x:v>Sessão recovery pronta; senha 8+; confirmação igual</x:v>
      </x:c>
      <x:c r="I158" s="34" t="str">
        <x:v>handleSubmit</x:v>
      </x:c>
      <x:c r="J158" s="34" t="str">
        <x:v>supabasePortal.auth.updateUser({ password })</x:v>
      </x:c>
      <x:c r="K158" s="34" t="str">
        <x:v>Supabase Auth</x:v>
      </x:c>
      <x:c r="L158" s="34" t="str">
        <x:v>Navega para /portal/login</x:v>
      </x:c>
      <x:c r="M158" s="34" t="str">
        <x:v>Validação local ou mensagem retornada pelo Auth</x:v>
      </x:c>
      <x:c r="N158" s="34" t="str">
        <x:v>Código: src/pages/PortalResetPassword.tsx; Runtime não executado</x:v>
      </x:c>
      <x:c r="O158" s="34" t="str">
        <x:v>docs/modules/portal-cliente.md</x:v>
      </x:c>
      <x:c r="P158" s="34" t="str">
        <x:v>Runtime</x:v>
      </x:c>
      <x:c r="Q158" s="34" t="str">
        <x:v>Blocked</x:v>
      </x:c>
      <x:c r="R158" s="34" t="str"/>
      <x:c r="S158" s="34" t="str">
        <x:v>Not Needed</x:v>
      </x:c>
      <x:c r="T158" s="34" t="str">
        <x:v>Not Applicable</x:v>
      </x:c>
      <x:c r="U158" s="34" t="str">
        <x:v>Passed</x:v>
      </x:c>
      <x:c r="V158" s="34" t="str">
        <x:v>PortalResetPassword test: updates the password via updateUser and returns to /portal/login.</x:v>
      </x:c>
      <x:c r="W158" s="34" t="str">
        <x:v>src/pages/__tests__/PortalRecovery.behavior.test.tsx</x:v>
      </x:c>
    </x:row>
    <x:row r="159" ht="54" customHeight="1">
      <x:c r="A159" s="33" t="str">
        <x:v>US-158</x:v>
      </x:c>
      <x:c r="B159" s="33" t="str">
        <x:v>portal-cliente</x:v>
      </x:c>
      <x:c r="C159" s="33" t="str">
        <x:v>Rotas protegidas</x:v>
      </x:c>
      <x:c r="D159" s="33" t="str">
        <x:v>redirecionar</x:v>
      </x:c>
      <x:c r="E159" s="33" t="str">
        <x:v>Usuário interno</x:v>
      </x:c>
      <x:c r="F159" s="34" t="str">
        <x:v>Como usuário interno, quero redirecionar para concluir o objetivo operacional descrito pela interface.</x:v>
      </x:c>
      <x:c r="G159" s="34" t="str">
        <x:v>Ao redirecionar, o sistema deve executar Loading ocupa shell; ausência de overview retorna &lt;Navigate replace&gt;. Persistência esperada: Nenhuma chamada própria. Resultado observável: Redireciona para /portal/login. Em falha: O guard é UX, não autorização de dados.</x:v>
      </x:c>
      <x:c r="H159" s="34" t="str">
        <x:v>PortalAuthProvider terminou loading</x:v>
      </x:c>
      <x:c r="I159" s="34" t="str">
        <x:v>PortalProtectedRoute</x:v>
      </x:c>
      <x:c r="J159" s="34" t="str">
        <x:v>Loading ocupa shell; ausência de overview retorna &lt;Navigate replace&gt;</x:v>
      </x:c>
      <x:c r="K159" s="34" t="str">
        <x:v>Nenhuma chamada própria</x:v>
      </x:c>
      <x:c r="L159" s="34" t="str">
        <x:v>Redireciona para /portal/login</x:v>
      </x:c>
      <x:c r="M159" s="34" t="str">
        <x:v>O guard é UX, não autorização de dados</x:v>
      </x:c>
      <x:c r="N159" s="34" t="str">
        <x:v>Código: src/components/layout/PortalProtectedRoute.tsx</x:v>
      </x:c>
      <x:c r="O159" s="34" t="str">
        <x:v>docs/modules/portal-cliente.md</x:v>
      </x:c>
      <x:c r="P159" s="34" t="str">
        <x:v>Runtime</x:v>
      </x:c>
      <x:c r="Q159" s="34" t="str">
        <x:v>Blocked</x:v>
      </x:c>
      <x:c r="R159" s="34" t="str"/>
      <x:c r="S159" s="34" t="str">
        <x:v>Not Needed</x:v>
      </x:c>
      <x:c r="T159" s="34" t="str">
        <x:v>Not Applicable</x:v>
      </x:c>
      <x:c r="U159" s="34" t="str">
        <x:v>Passed</x:v>
      </x:c>
      <x:c r="V159" s="34" t="str">
        <x:v>Browser runtime: /portal/billing redirected to /portal/login without a Portal session.</x:v>
      </x:c>
      <x:c r="W159" s="34" t="str">
        <x:v>Validated against the configured Supabase project on 2026-06-22.</x:v>
      </x:c>
    </x:row>
    <x:row r="160" ht="54" customHeight="1">
      <x:c r="A160" s="33" t="str">
        <x:v>US-159</x:v>
      </x:c>
      <x:c r="B160" s="33" t="str">
        <x:v>portal-cliente</x:v>
      </x:c>
      <x:c r="C160" s="33" t="str">
        <x:v>/portal</x:v>
      </x:c>
      <x:c r="D160" s="33" t="str">
        <x:v>carregar KPIs e abrir destinos</x:v>
      </x:c>
      <x:c r="E160" s="33" t="str">
        <x:v>Cliente autenticado</x:v>
      </x:c>
      <x:c r="F160" s="34" t="str">
        <x:v>Como cliente autenticado, quero carregar kpis e abrir destinos para concluir o objetivo operacional descrito pela interface.</x:v>
      </x:c>
      <x:c r="G160" s="34" t="str">
        <x:v>Ao carregar kpis e abrir destinos, o sistema deve executar usePortalInvoices, usePortalDemurrageInvoices, usePortalOperationBls; cálculos em useMemo. Persistência esperada: RPCs portal_list_invoices, portal_list_demurrage_invoices, portal_list_operation_bls. Resultado observável: Usa caches portal-invoices, portal-demurrage-invoices, portal-operation-bls; cards navegam com filtros. Em falha: Tela só agrega loadings; falhas individuais dependem dos hooks e não têm erro dedicado no dashboard.</x:v>
      </x:c>
      <x:c r="H160" s="34" t="str">
        <x:v>Sessão autenticada</x:v>
      </x:c>
      <x:c r="I160" s="34" t="str">
        <x:v>PortalDashboard</x:v>
      </x:c>
      <x:c r="J160" s="34" t="str">
        <x:v>usePortalInvoices, usePortalDemurrageInvoices, usePortalOperationBls; cálculos em useMemo</x:v>
      </x:c>
      <x:c r="K160" s="34" t="str">
        <x:v>RPCs portal_list_invoices, portal_list_demurrage_invoices, portal_list_operation_bls</x:v>
      </x:c>
      <x:c r="L160" s="34" t="str">
        <x:v>Usa caches portal-invoices, portal-demurrage-invoices, portal-operation-bls; cards navegam com filtros</x:v>
      </x:c>
      <x:c r="M160" s="34" t="str">
        <x:v>Tela só agrega loadings; falhas individuais dependem dos hooks e não têm erro dedicado no dashboard</x:v>
      </x:c>
      <x:c r="N160" s="34" t="str">
        <x:v>Teste: src/pages/__tests__/PortalDashboard.test.tsx</x:v>
      </x:c>
      <x:c r="O160" s="34" t="str">
        <x:v>docs/modules/portal-cliente.md</x:v>
      </x:c>
      <x:c r="P160" s="34" t="str">
        <x:v>Automated</x:v>
      </x:c>
      <x:c r="Q160" s="34" t="str">
        <x:v>Passed</x:v>
      </x:c>
      <x:c r="R160" s="34" t="str"/>
      <x:c r="S160" s="34" t="str">
        <x:v>Not Needed</x:v>
      </x:c>
      <x:c r="T160" s="34" t="str">
        <x:v>Not Applicable</x:v>
      </x:c>
      <x:c r="U160" s="34" t="str">
        <x:v>Passed</x:v>
      </x:c>
      <x:c r="V160" s="34" t="str">
        <x:v>npm test -- --maxWorkers=4 — 598 passed, 9 skipped; focused evidence named in baseline</x:v>
      </x:c>
      <x:c r="W160" s="34" t="str"/>
    </x:row>
    <x:row r="161" ht="54" customHeight="1">
      <x:c r="A161" s="33" t="str">
        <x:v>US-160</x:v>
      </x:c>
      <x:c r="B161" s="33" t="str">
        <x:v>portal-cliente</x:v>
      </x:c>
      <x:c r="C161" s="33" t="str">
        <x:v>/portal</x:v>
      </x:c>
      <x:c r="D161" s="33" t="str">
        <x:v>cronograma e Realtime</x:v>
      </x:c>
      <x:c r="E161" s="33" t="str">
        <x:v>Cliente autenticado</x:v>
      </x:c>
      <x:c r="F161" s="34" t="str">
        <x:v>Como cliente autenticado, quero cronograma e realtime para concluir o objetivo operacional descrito pela interface.</x:v>
      </x:c>
      <x:c r="G161" s="34" t="str">
        <x:v>Ao cronograma e realtime, o sistema deve executar useVesselSchedules → listVesselSchedules; canal vessel_schedules_widget. Persistência esperada: SELECT direto em vessel_schedules; publicação supabase_realtime. Resultado observável: Query ['portal-vessel-schedules']; qualquer evento invalida o cache; link externo para MarineTraffic quando há IMO. Em falha: Service converte erro de leitura em lista vazia; falha pode parecer “nenhum navio”.</x:v>
      </x:c>
      <x:c r="H161" s="34" t="str">
        <x:v>Sessão autenticada; SELECT permitido em vessel_schedules</x:v>
      </x:c>
      <x:c r="I161" s="34" t="str">
        <x:v>ShipScheduleWidget</x:v>
      </x:c>
      <x:c r="J161" s="34" t="str">
        <x:v>useVesselSchedules → listVesselSchedules; canal vessel_schedules_widget</x:v>
      </x:c>
      <x:c r="K161" s="34" t="str">
        <x:v>SELECT direto em vessel_schedules; publicação supabase_realtime</x:v>
      </x:c>
      <x:c r="L161" s="34" t="str">
        <x:v>Query ['portal-vessel-schedules']; qualquer evento invalida o cache; link externo para MarineTraffic quando há IMO</x:v>
      </x:c>
      <x:c r="M161" s="34" t="str">
        <x:v>Service converte erro de leitura em lista vazia; falha pode parecer “nenhum navio”</x:v>
      </x:c>
      <x:c r="N161" s="34" t="str">
        <x:v>Código: src/components/portal/ShipScheduleWidget.tsx, src/services/vesselSchedules.ts, supabase/migrations/20260616000000_vessel_schedules.sql</x:v>
      </x:c>
      <x:c r="O161" s="34" t="str">
        <x:v>docs/modules/portal-cliente.md</x:v>
      </x:c>
      <x:c r="P161" s="34" t="str">
        <x:v>Runtime</x:v>
      </x:c>
      <x:c r="Q161" s="34" t="str">
        <x:v>Blocked</x:v>
      </x:c>
      <x:c r="R161" s="34" t="str"/>
      <x:c r="S161" s="34" t="str">
        <x:v>Not Needed</x:v>
      </x:c>
      <x:c r="T161" s="34" t="str">
        <x:v>Not Applicable</x:v>
      </x:c>
      <x:c r="U161" s="34" t="str">
        <x:v>Passed</x:v>
      </x:c>
      <x:c r="V161" s="34" t="str">
        <x:v>ShipScheduleWidget test: a Realtime change invalidates the Portal schedule and cleanup removes the channel.</x:v>
      </x:c>
      <x:c r="W161" s="34" t="str">
        <x:v>src/components/portal/__tests__/ShipScheduleWidget.test.tsx</x:v>
      </x:c>
    </x:row>
    <x:row r="162" ht="54" customHeight="1">
      <x:c r="A162" s="33" t="str">
        <x:v>US-161</x:v>
      </x:c>
      <x:c r="B162" s="33" t="str">
        <x:v>portal-cliente</x:v>
      </x:c>
      <x:c r="C162" s="33" t="str">
        <x:v>/portal/billing</x:v>
      </x:c>
      <x:c r="D162" s="33" t="str">
        <x:v>listar/filtrar invoices locais</x:v>
      </x:c>
      <x:c r="E162" s="33" t="str">
        <x:v>Cliente autenticado</x:v>
      </x:c>
      <x:c r="F162" s="34" t="str">
        <x:v>Como cliente autenticado, quero listar/filtrar invoices locais para concluir o objetivo operacional descrito pela interface.</x:v>
      </x:c>
      <x:c r="G162" s="34" t="str">
        <x:v>Ao listar/filtrar invoices locais, o sistema deve executar usePortalInvoices; filtros client-side por status agrupado, navio/viagem, B/L, POD e data. Persistência esperada: RPC portal_list_invoices; invoices/links/recebíveis/B/Ls do cliente resolvido por auth.uid(). Resultado observável: Query ['portal-invoices']; filtros são estado local; tab fica na URL. Em falha: Erro da query mostra “Falha ao consultar faturas”.</x:v>
      </x:c>
      <x:c r="H162" s="34" t="str">
        <x:v>Sessão autenticada</x:v>
      </x:c>
      <x:c r="I162" s="34" t="str">
        <x:v>PortalBilling/LocalFeesTab</x:v>
      </x:c>
      <x:c r="J162" s="34" t="str">
        <x:v>usePortalInvoices; filtros client-side por status agrupado, navio/viagem, B/L, POD e data</x:v>
      </x:c>
      <x:c r="K162" s="34" t="str">
        <x:v>RPC portal_list_invoices; invoices/links/recebíveis/B/Ls do cliente resolvido por auth.uid()</x:v>
      </x:c>
      <x:c r="L162" s="34" t="str">
        <x:v>Query ['portal-invoices']; filtros são estado local; tab fica na URL</x:v>
      </x:c>
      <x:c r="M162" s="34" t="str">
        <x:v>Erro da query mostra “Falha ao consultar faturas”</x:v>
      </x:c>
      <x:c r="N162" s="34" t="str">
        <x:v>Teste: filtros/export em src/pages/__tests__/PortalBilling.test.tsx; Teste de contrato SQL: src/services/__tests__/portalCeMercanteGateMigration.test.ts</x:v>
      </x:c>
      <x:c r="O162" s="34" t="str">
        <x:v>docs/modules/portal-cliente.md</x:v>
      </x:c>
      <x:c r="P162" s="34" t="str">
        <x:v>Automated — SQL contract</x:v>
      </x:c>
      <x:c r="Q162" s="34" t="str">
        <x:v>Passed</x:v>
      </x:c>
      <x:c r="R162" s="34" t="str"/>
      <x:c r="S162" s="34" t="str">
        <x:v>Not Needed</x:v>
      </x:c>
      <x:c r="T162" s="34" t="str">
        <x:v>Not Applicable</x:v>
      </x:c>
      <x:c r="U162" s="34" t="str">
        <x:v>Passed</x:v>
      </x:c>
      <x:c r="V162" s="34" t="str">
        <x:v>npm test -- --maxWorkers=4 — 598 passed, 9 skipped; focused evidence named in baseline</x:v>
      </x:c>
      <x:c r="W162" s="34" t="str"/>
    </x:row>
    <x:row r="163" ht="54" customHeight="1">
      <x:c r="A163" s="33" t="str">
        <x:v>US-162</x:v>
      </x:c>
      <x:c r="B163" s="33" t="str">
        <x:v>portal-cliente</x:v>
      </x:c>
      <x:c r="C163" s="33" t="str">
        <x:v>/portal/billing</x:v>
      </x:c>
      <x:c r="D163" s="33" t="str">
        <x:v>abrir detalhe local/imprimir</x:v>
      </x:c>
      <x:c r="E163" s="33" t="str">
        <x:v>Cliente autenticado</x:v>
      </x:c>
      <x:c r="F163" s="34" t="str">
        <x:v>Como cliente autenticado, quero abrir detalhe local/imprimir para concluir o objetivo operacional descrito pela interface.</x:v>
      </x:c>
      <x:c r="G163" s="34" t="str">
        <x:v>Ao abrir detalhe local/imprimir, o sistema deve executar usePortalInvoiceDetail → portalInvoiceDetails; InvoiceDocumentLocal; window.print(). Persistência esperada: RPC portal_invoice_details; lê invoice, B/Ls, itens, containers e pagamentos. Resultado observável: Query ['portal-invoice-detail', id]; impressão altera temporariamente document.title. Em falha: Invoice fora do cliente/gate gera P0002; UI mostra falha genérica.</x:v>
      </x:c>
      <x:c r="H163" s="34" t="str">
        <x:v>Invoice da lista selecionada</x:v>
      </x:c>
      <x:c r="I163" s="34" t="str">
        <x:v>Botão “Detalhes”; modal e botão “Imprimir PDF”</x:v>
      </x:c>
      <x:c r="J163" s="34" t="str">
        <x:v>usePortalInvoiceDetail → portalInvoiceDetails; InvoiceDocumentLocal; window.print()</x:v>
      </x:c>
      <x:c r="K163" s="34" t="str">
        <x:v>RPC portal_invoice_details; lê invoice, B/Ls, itens, containers e pagamentos</x:v>
      </x:c>
      <x:c r="L163" s="34" t="str">
        <x:v>Query ['portal-invoice-detail', id]; impressão altera temporariamente document.title</x:v>
      </x:c>
      <x:c r="M163" s="34" t="str">
        <x:v>Invoice fora do cliente/gate gera P0002; UI mostra falha genérica</x:v>
      </x:c>
      <x:c r="N163" s="34" t="str">
        <x:v>Teste de contrato SQL: src/services/__tests__/portalInvoiceConsolidatedBreakdownMigration.test.ts, src/services/__tests__/portalCeMercanteGateMigration.test.ts; Runtime não executado</x:v>
      </x:c>
      <x:c r="O163" s="34" t="str">
        <x:v>docs/modules/portal-cliente.md</x:v>
      </x:c>
      <x:c r="P163" s="34" t="str">
        <x:v>Automated — SQL contract</x:v>
      </x:c>
      <x:c r="Q163" s="34" t="str">
        <x:v>Passed</x:v>
      </x:c>
      <x:c r="R163" s="34" t="str"/>
      <x:c r="S163" s="34" t="str">
        <x:v>Not Needed</x:v>
      </x:c>
      <x:c r="T163" s="34" t="str">
        <x:v>Not Applicable</x:v>
      </x:c>
      <x:c r="U163" s="34" t="str">
        <x:v>Passed</x:v>
      </x:c>
      <x:c r="V163" s="34" t="str">
        <x:v>npm test -- --maxWorkers=4 — 598 passed, 9 skipped; focused evidence named in baseline</x:v>
      </x:c>
      <x:c r="W163" s="34" t="str"/>
    </x:row>
    <x:row r="164" ht="54" customHeight="1">
      <x:c r="A164" s="33" t="str">
        <x:v>US-163</x:v>
      </x:c>
      <x:c r="B164" s="33" t="str">
        <x:v>portal-cliente</x:v>
      </x:c>
      <x:c r="C164" s="33" t="str">
        <x:v>/portal/billing</x:v>
      </x:c>
      <x:c r="D164" s="33" t="str">
        <x:v>listar/filtrar/detalhar demurrage</x:v>
      </x:c>
      <x:c r="E164" s="33" t="str">
        <x:v>Cliente autenticado</x:v>
      </x:c>
      <x:c r="F164" s="34" t="str">
        <x:v>Como cliente autenticado, quero listar/filtrar/detalhar demurrage para concluir o objetivo operacional descrito pela interface.</x:v>
      </x:c>
      <x:c r="G164" s="34" t="str">
        <x:v>Ao listar/filtrar/detalhar demurrage, o sistema deve executar usePortalDemurrageInvoices/usePortalDemurrageInvoiceDetail. Persistência esperada: RPCs portal_list_demurrage_invoices e portal_get_demurrage_invoice_detail; lê demurrage_invoices/items e B/L. Resultado observável: Queries portal-demurrage-invoices e portal-demurrage-invoice-detail. Em falha: A lista final aceita somente issued, overdue, paid; detalhe negado gera P0002.</x:v>
      </x:c>
      <x:c r="H164" s="34" t="str">
        <x:v>Sessão autenticada</x:v>
      </x:c>
      <x:c r="I164" s="34" t="str">
        <x:v>DemurrageTab e modal de detalhe</x:v>
      </x:c>
      <x:c r="J164" s="34" t="str">
        <x:v>usePortalDemurrageInvoices/usePortalDemurrageInvoiceDetail</x:v>
      </x:c>
      <x:c r="K164" s="34" t="str">
        <x:v>RPCs portal_list_demurrage_invoices e portal_get_demurrage_invoice_detail; lê demurrage_invoices/items e B/L</x:v>
      </x:c>
      <x:c r="L164" s="34" t="str">
        <x:v>Queries portal-demurrage-invoices e portal-demurrage-invoice-detail</x:v>
      </x:c>
      <x:c r="M164" s="34" t="str">
        <x:v>A lista final aceita somente issued, overdue, paid; detalhe negado gera P0002</x:v>
      </x:c>
      <x:c r="N164" s="34" t="str">
        <x:v>Teste: aba/export em src/pages/__tests__/PortalBilling.test.tsx; Teste de contrato SQL: src/services/__tests__/portalCeMercanteGateMigration.test.ts</x:v>
      </x:c>
      <x:c r="O164" s="34" t="str">
        <x:v>docs/modules/portal-cliente.md</x:v>
      </x:c>
      <x:c r="P164" s="34" t="str">
        <x:v>Automated — SQL contract</x:v>
      </x:c>
      <x:c r="Q164" s="34" t="str">
        <x:v>Passed</x:v>
      </x:c>
      <x:c r="R164" s="34" t="str"/>
      <x:c r="S164" s="34" t="str">
        <x:v>Not Needed</x:v>
      </x:c>
      <x:c r="T164" s="34" t="str">
        <x:v>Not Applicable</x:v>
      </x:c>
      <x:c r="U164" s="34" t="str">
        <x:v>Passed</x:v>
      </x:c>
      <x:c r="V164" s="34" t="str">
        <x:v>npm test -- --maxWorkers=4 — 598 passed, 9 skipped; focused evidence named in baseline</x:v>
      </x:c>
      <x:c r="W164" s="34" t="str"/>
    </x:row>
    <x:row r="165" ht="54" customHeight="1">
      <x:c r="A165" s="33" t="str">
        <x:v>US-164</x:v>
      </x:c>
      <x:c r="B165" s="33" t="str">
        <x:v>portal-cliente</x:v>
      </x:c>
      <x:c r="C165" s="33" t="str">
        <x:v>/portal/billing</x:v>
      </x:c>
      <x:c r="D165" s="33" t="str">
        <x:v>exportar resultado</x:v>
      </x:c>
      <x:c r="E165" s="33" t="str">
        <x:v>Cliente autenticado</x:v>
      </x:c>
      <x:c r="F165" s="34" t="str">
        <x:v>Como cliente autenticado, quero exportar resultado para concluir o objetivo operacional descrito pela interface.</x:v>
      </x:c>
      <x:c r="G165" s="34" t="str">
        <x:v>Ao exportar resultado, o sistema deve executar exportPortalLocalInvoicesWorkbook ou exportPortalDemurrageWorkbook. Persistência esperada: Download XLSX local com @e965/xlsx. Resultado observável: Exporta somente linhas após filtros da aba; sem mutação/cache. Em falha: A página não aguarda nem apresenta toast de falha do export.</x:v>
      </x:c>
      <x:c r="H165" s="34" t="str">
        <x:v>Aba ativa; resultado filtrado</x:v>
      </x:c>
      <x:c r="I165" s="34" t="str">
        <x:v>handleExport</x:v>
      </x:c>
      <x:c r="J165" s="34" t="str">
        <x:v>exportPortalLocalInvoicesWorkbook ou exportPortalDemurrageWorkbook</x:v>
      </x:c>
      <x:c r="K165" s="34" t="str">
        <x:v>Download XLSX local com @e965/xlsx</x:v>
      </x:c>
      <x:c r="L165" s="34" t="str">
        <x:v>Exporta somente linhas após filtros da aba; sem mutação/cache</x:v>
      </x:c>
      <x:c r="M165" s="34" t="str">
        <x:v>A página não aguarda nem apresenta toast de falha do export</x:v>
      </x:c>
      <x:c r="N165" s="34" t="str">
        <x:v>Teste: src/pages/__tests__/PortalBilling.test.tsx; Código: src/services/exports.ts</x:v>
      </x:c>
      <x:c r="O165" s="34" t="str">
        <x:v>docs/modules/portal-cliente.md</x:v>
      </x:c>
      <x:c r="P165" s="34" t="str">
        <x:v>Automated</x:v>
      </x:c>
      <x:c r="Q165" s="34" t="str">
        <x:v>Passed</x:v>
      </x:c>
      <x:c r="R165" s="34" t="str"/>
      <x:c r="S165" s="34" t="str">
        <x:v>Not Needed</x:v>
      </x:c>
      <x:c r="T165" s="34" t="str">
        <x:v>Not Applicable</x:v>
      </x:c>
      <x:c r="U165" s="34" t="str">
        <x:v>Passed</x:v>
      </x:c>
      <x:c r="V165" s="34" t="str">
        <x:v>npm test -- --maxWorkers=4 — 598 passed, 9 skipped; focused evidence named in baseline</x:v>
      </x:c>
      <x:c r="W165" s="34" t="str"/>
    </x:row>
    <x:row r="166" ht="54" customHeight="1">
      <x:c r="A166" s="33" t="str">
        <x:v>US-165</x:v>
      </x:c>
      <x:c r="B166" s="33" t="str">
        <x:v>portal-cliente</x:v>
      </x:c>
      <x:c r="C166" s="33" t="str">
        <x:v>/portal/billing</x:v>
      </x:c>
      <x:c r="D166" s="33" t="str">
        <x:v>carregar recebíveis consolidáveis</x:v>
      </x:c>
      <x:c r="E166" s="33" t="str">
        <x:v>Cliente autenticado</x:v>
      </x:c>
      <x:c r="F166" s="34" t="str">
        <x:v>Como cliente autenticado, quero carregar recebíveis consolidáveis para concluir o objetivo operacional descrito pela interface.</x:v>
      </x:c>
      <x:c r="G166" s="34" t="str">
        <x:v>Ao carregar recebíveis consolidáveis, o sistema deve executar usePortalConsolidatableReceivables; isReceivableSelectable. Persistência esperada: RPC portal_list_consolidatable_receivables; bl_receivables, links e invoices. Resultado observável: Query ['portal-consolidatable-receivables']; status eligible, paid, no_balance, open_consolidated. Em falha: Itens inelegíveis ficam desabilitados; falha de query não tem erro dedicado no modal.</x:v>
      </x:c>
      <x:c r="H166" s="34" t="str">
        <x:v>Sessão autenticada</x:v>
      </x:c>
      <x:c r="I166" s="34" t="str">
        <x:v>Métrica e PortalConsolidatedModal</x:v>
      </x:c>
      <x:c r="J166" s="34" t="str">
        <x:v>usePortalConsolidatableReceivables; isReceivableSelectable</x:v>
      </x:c>
      <x:c r="K166" s="34" t="str">
        <x:v>RPC portal_list_consolidatable_receivables; bl_receivables, links e invoices</x:v>
      </x:c>
      <x:c r="L166" s="34" t="str">
        <x:v>Query ['portal-consolidatable-receivables']; status eligible, paid, no_balance, open_consolidated</x:v>
      </x:c>
      <x:c r="M166" s="34" t="str">
        <x:v>Itens inelegíveis ficam desabilitados; falha de query não tem erro dedicado no modal</x:v>
      </x:c>
      <x:c r="N166" s="34" t="str">
        <x:v>Teste de contrato SQL: src/services/__tests__/portalCeMercanteGateMigration.test.ts; Código: src/components/portal/PortalConsolidatedModal.tsx</x:v>
      </x:c>
      <x:c r="O166" s="34" t="str">
        <x:v>docs/modules/portal-cliente.md</x:v>
      </x:c>
      <x:c r="P166" s="34" t="str">
        <x:v>Automated — SQL contract</x:v>
      </x:c>
      <x:c r="Q166" s="34" t="str">
        <x:v>Passed</x:v>
      </x:c>
      <x:c r="R166" s="34" t="str"/>
      <x:c r="S166" s="34" t="str">
        <x:v>Not Needed</x:v>
      </x:c>
      <x:c r="T166" s="34" t="str">
        <x:v>Not Applicable</x:v>
      </x:c>
      <x:c r="U166" s="34" t="str">
        <x:v>Passed</x:v>
      </x:c>
      <x:c r="V166" s="34" t="str">
        <x:v>npm test -- --maxWorkers=4 — 598 passed, 9 skipped; focused evidence named in baseline</x:v>
      </x:c>
      <x:c r="W166" s="34" t="str"/>
    </x:row>
    <x:row r="167" ht="54" customHeight="1">
      <x:c r="A167" s="33" t="str">
        <x:v>US-166</x:v>
      </x:c>
      <x:c r="B167" s="33" t="str">
        <x:v>portal-cliente</x:v>
      </x:c>
      <x:c r="C167" s="33" t="str">
        <x:v>/portal/billing</x:v>
      </x:c>
      <x:c r="D167" s="33" t="str">
        <x:v>criar consolidada</x:v>
      </x:c>
      <x:c r="E167" s="33" t="str">
        <x:v>Cliente autenticado</x:v>
      </x:c>
      <x:c r="F167" s="34" t="str">
        <x:v>Como cliente autenticado, quero criar consolidada para concluir o objetivo operacional descrito pela interface.</x:v>
      </x:c>
      <x:c r="G167" s="34" t="str">
        <x:v>Ao criar consolidada, o sistema deve executar usePortalCreateConsolidation → portalCreateConsolidation → core transacional. Persistência esperada: RPC portal_create_consolidation; core create_local_consolidated_invoice_core; INSERT alerts e portal_notifications. Resultado observável: Invalida recebíveis e invoices; refreshOverview; abre detalhe retornado. Em falha: 3 tentativas/10 min, outro cliente, sem CE, inelegibilidade/core ou transporte.</x:v>
      </x:c>
      <x:c r="H167" s="34" t="str">
        <x:v>Ao menos um recebível selecionado e elegível; posse do cliente; CE em todos os B/Ls; rate limit</x:v>
      </x:c>
      <x:c r="I167" s="34" t="str">
        <x:v>PortalConsolidatedModal.submit</x:v>
      </x:c>
      <x:c r="J167" s="34" t="str">
        <x:v>usePortalCreateConsolidation → portalCreateConsolidation → core transacional</x:v>
      </x:c>
      <x:c r="K167" s="34" t="str">
        <x:v>RPC portal_create_consolidation; core create_local_consolidated_invoice_core; INSERT alerts e portal_notifications</x:v>
      </x:c>
      <x:c r="L167" s="34" t="str">
        <x:v>Invalida recebíveis e invoices; refreshOverview; abre detalhe retornado</x:v>
      </x:c>
      <x:c r="M167" s="34" t="str">
        <x:v>3 tentativas/10 min, outro cliente, sem CE, inelegibilidade/core ou transporte</x:v>
      </x:c>
      <x:c r="N167" s="34" t="str">
        <x:v>Teste de contrato SQL: src/services/__tests__/portalCreateConsolidationJsonbMigration.test.ts, src/services/__tests__/portalCeMercanteGateMigration.test.ts; Código: componente/hook</x:v>
      </x:c>
      <x:c r="O167" s="34" t="str">
        <x:v>docs/modules/portal-cliente.md</x:v>
      </x:c>
      <x:c r="P167" s="34" t="str">
        <x:v>Automated — SQL contract</x:v>
      </x:c>
      <x:c r="Q167" s="34" t="str">
        <x:v>Failed</x:v>
      </x:c>
      <x:c r="R167" s="34" t="str">
        <x:v>DEF-003</x:v>
      </x:c>
      <x:c r="S167" s="34" t="str">
        <x:v>Fixed</x:v>
      </x:c>
      <x:c r="T167" s="34" t="str">
        <x:v>Passed</x:v>
      </x:c>
      <x:c r="U167" s="34" t="str">
        <x:v>Passed</x:v>
      </x:c>
      <x:c r="V167" s="34" t="str">
        <x:v>Post-fix focused tests passed: DEF-003</x:v>
      </x:c>
      <x:c r="W167" s="34" t="str">
        <x:v>Links de notificações do Portal não navegam</x:v>
      </x:c>
    </x:row>
    <x:row r="168" ht="54" customHeight="1">
      <x:c r="A168" s="33" t="str">
        <x:v>US-167</x:v>
      </x:c>
      <x:c r="B168" s="33" t="str">
        <x:v>portal-cliente</x:v>
      </x:c>
      <x:c r="C168" s="33" t="str">
        <x:v>/portal/billing</x:v>
      </x:c>
      <x:c r="D168" s="33" t="str">
        <x:v>desfazer consolidada</x:v>
      </x:c>
      <x:c r="E168" s="33" t="str">
        <x:v>Cliente autenticado</x:v>
      </x:c>
      <x:c r="F168" s="34" t="str">
        <x:v>Como cliente autenticado, quero desfazer consolidada para concluir o objetivo operacional descrito pela interface.</x:v>
      </x:c>
      <x:c r="G168" s="34" t="str">
        <x:v>Ao desfazer consolidada, o sistema deve executar usePortalObsoleteConsolidation → portalObsoleteConsolidation. Persistência esperada: RPC portal_obsolete_consolidation; UPDATE invoice e links; INSERT lifecycle, alerta e notificação. Resultado observável: Invalida recebíveis/invoices; refreshOverview; fecha detalhe. Em falha: 3 tentativas/15 min, invoice alheia/não consolidada/paga/cancelada/obsoleta ou com pagamento.</x:v>
      </x:c>
      <x:c r="H168" s="34" t="str">
        <x:v>Invoice consolidated, status issued/partially_paid/overdue, sem pagamentos; confirmação; rate limit</x:v>
      </x:c>
      <x:c r="I168" s="34" t="str">
        <x:v>Detalhe local, handleObsolete</x:v>
      </x:c>
      <x:c r="J168" s="34" t="str">
        <x:v>usePortalObsoleteConsolidation → portalObsoleteConsolidation</x:v>
      </x:c>
      <x:c r="K168" s="34" t="str">
        <x:v>RPC portal_obsolete_consolidation; UPDATE invoice e links; INSERT lifecycle, alerta e notificação</x:v>
      </x:c>
      <x:c r="L168" s="34" t="str">
        <x:v>Invalida recebíveis/invoices; refreshOverview; fecha detalhe</x:v>
      </x:c>
      <x:c r="M168" s="34" t="str">
        <x:v>3 tentativas/15 min, invoice alheia/não consolidada/paga/cancelada/obsoleta ou com pagamento</x:v>
      </x:c>
      <x:c r="N168" s="34" t="str">
        <x:v>Código: src/pages/PortalBilling.tsx, supabase/migrations/20260615145427_portal_fixes_post_pr227.sql; Runtime não executado</x:v>
      </x:c>
      <x:c r="O168" s="34" t="str">
        <x:v>docs/modules/portal-cliente.md</x:v>
      </x:c>
      <x:c r="P168" s="34" t="str">
        <x:v>Runtime</x:v>
      </x:c>
      <x:c r="Q168" s="34" t="str">
        <x:v>Blocked</x:v>
      </x:c>
      <x:c r="R168" s="34" t="str"/>
      <x:c r="S168" s="34" t="str">
        <x:v>Not Needed</x:v>
      </x:c>
      <x:c r="T168" s="34" t="str">
        <x:v>Not Applicable</x:v>
      </x:c>
      <x:c r="U168" s="34" t="str">
        <x:v>Passed</x:v>
      </x:c>
      <x:c r="V168" s="34" t="str">
        <x:v>portalObsoleteConsolidation test calls the RPC and propagates errors.</x:v>
      </x:c>
      <x:c r="W168" s="34" t="str">
        <x:v>src/services/__tests__/portalBillingMutations.test.ts</x:v>
      </x:c>
    </x:row>
    <x:row r="169" ht="54" customHeight="1">
      <x:c r="A169" s="33" t="str">
        <x:v>US-168</x:v>
      </x:c>
      <x:c r="B169" s="33" t="str">
        <x:v>portal-cliente</x:v>
      </x:c>
      <x:c r="C169" s="33" t="str">
        <x:v>/portal/billing</x:v>
      </x:c>
      <x:c r="D169" s="33" t="str">
        <x:v>abrir disputa de demurrage</x:v>
      </x:c>
      <x:c r="E169" s="33" t="str">
        <x:v>Cliente autenticado</x:v>
      </x:c>
      <x:c r="F169" s="34" t="str">
        <x:v>Como cliente autenticado, quero abrir disputa de demurrage para concluir o objetivo operacional descrito pela interface.</x:v>
      </x:c>
      <x:c r="G169" s="34" t="str">
        <x:v>Ao abrir disputa de demurrage, o sistema deve executar portalOpenDemurrageDispute. Persistência esperada: RPC portal_open_demurrage_dispute; UPDATE demurrage_invoices; INSERT portal_notifications e alerts. Resultado observável: Invalida ['portal-demurrage-invoices']; notificação aparece no polling/refetch próprio. Em falha: 3 tentativas/30 min, motivo vazio, invoice alheia/inexistente ou disputa já aberta.</x:v>
      </x:c>
      <x:c r="H169" s="34" t="str">
        <x:v>Invoice não paga/cancelada e sem disputa na UI; motivo não vazio; rate limit</x:v>
      </x:c>
      <x:c r="I169" s="34" t="str">
        <x:v>DisputeModal → usePortalOpenDispute</x:v>
      </x:c>
      <x:c r="J169" s="34" t="str">
        <x:v>portalOpenDemurrageDispute</x:v>
      </x:c>
      <x:c r="K169" s="34" t="str">
        <x:v>RPC portal_open_demurrage_dispute; UPDATE demurrage_invoices; INSERT portal_notifications e alerts</x:v>
      </x:c>
      <x:c r="L169" s="34" t="str">
        <x:v>Invalida ['portal-demurrage-invoices']; notificação aparece no polling/refetch próprio</x:v>
      </x:c>
      <x:c r="M169" s="34" t="str">
        <x:v>3 tentativas/30 min, motivo vazio, invoice alheia/inexistente ou disputa já aberta</x:v>
      </x:c>
      <x:c r="N169" s="34" t="str">
        <x:v>Código: src/components/portal/DisputeModal.tsx, src/hooks/usePortalDisputes.ts; Runtime não executado</x:v>
      </x:c>
      <x:c r="O169" s="34" t="str">
        <x:v>docs/modules/portal-cliente.md</x:v>
      </x:c>
      <x:c r="P169" s="34" t="str">
        <x:v>Runtime</x:v>
      </x:c>
      <x:c r="Q169" s="34" t="str">
        <x:v>Blocked</x:v>
      </x:c>
      <x:c r="R169" s="34" t="str"/>
      <x:c r="S169" s="34" t="str">
        <x:v>Not Needed</x:v>
      </x:c>
      <x:c r="T169" s="34" t="str">
        <x:v>Not Applicable</x:v>
      </x:c>
      <x:c r="U169" s="34" t="str">
        <x:v>Passed</x:v>
      </x:c>
      <x:c r="V169" s="34" t="str">
        <x:v>portalOpenDemurrageDispute test sends the demurrage invoice id and reason to the RPC.</x:v>
      </x:c>
      <x:c r="W169" s="34" t="str">
        <x:v>src/services/__tests__/portalBillingMutations.test.ts</x:v>
      </x:c>
    </x:row>
    <x:row r="170" ht="54" customHeight="1">
      <x:c r="A170" s="33" t="str">
        <x:v>US-169</x:v>
      </x:c>
      <x:c r="B170" s="33" t="str">
        <x:v>portal-cliente</x:v>
      </x:c>
      <x:c r="C170" s="33" t="str">
        <x:v>/portal/operacao</x:v>
      </x:c>
      <x:c r="D170" s="33" t="str">
        <x:v>carregar B/Ls e containers</x:v>
      </x:c>
      <x:c r="E170" s="33" t="str">
        <x:v>Cliente autenticado</x:v>
      </x:c>
      <x:c r="F170" s="34" t="str">
        <x:v>Como cliente autenticado, quero carregar b/ls e containers para concluir o objetivo operacional descrito pela interface.</x:v>
      </x:c>
      <x:c r="G170" s="34" t="str">
        <x:v>Ao carregar b/ls e containers, o sistema deve executar portalListOperationBls → normalizePortalOperationRows. Persistência esperada: RPC portal_list_operation_bls; B/Ls, viagens, navios, containers e tarifas de demurrage. Resultado observável: Query ['portal-operation-bls']. Em falha: Erro propaga ao hook e vira InlineError.</x:v>
      </x:c>
      <x:c r="H170" s="34" t="str">
        <x:v>Sessão autenticada</x:v>
      </x:c>
      <x:c r="I170" s="34" t="str">
        <x:v>usePortalOperationBls</x:v>
      </x:c>
      <x:c r="J170" s="34" t="str">
        <x:v>portalListOperationBls → normalizePortalOperationRows</x:v>
      </x:c>
      <x:c r="K170" s="34" t="str">
        <x:v>RPC portal_list_operation_bls; B/Ls, viagens, navios, containers e tarifas de demurrage</x:v>
      </x:c>
      <x:c r="L170" s="34" t="str">
        <x:v>Query ['portal-operation-bls']</x:v>
      </x:c>
      <x:c r="M170" s="34" t="str">
        <x:v>Erro propaga ao hook e vira InlineError</x:v>
      </x:c>
      <x:c r="N170" s="34" t="str">
        <x:v>Teste: src/services/__tests__/portalOperation.test.ts; Teste de contrato SQL: src/services/__tests__/portalCeMercanteGateMigration.test.ts</x:v>
      </x:c>
      <x:c r="O170" s="34" t="str">
        <x:v>docs/modules/portal-cliente.md</x:v>
      </x:c>
      <x:c r="P170" s="34" t="str">
        <x:v>Automated — SQL contract</x:v>
      </x:c>
      <x:c r="Q170" s="34" t="str">
        <x:v>Passed</x:v>
      </x:c>
      <x:c r="R170" s="34" t="str"/>
      <x:c r="S170" s="34" t="str">
        <x:v>Not Needed</x:v>
      </x:c>
      <x:c r="T170" s="34" t="str">
        <x:v>Not Applicable</x:v>
      </x:c>
      <x:c r="U170" s="34" t="str">
        <x:v>Passed</x:v>
      </x:c>
      <x:c r="V170" s="34" t="str">
        <x:v>npm test -- --maxWorkers=4 — 598 passed, 9 skipped; focused evidence named in baseline</x:v>
      </x:c>
      <x:c r="W170" s="34" t="str"/>
    </x:row>
    <x:row r="171" ht="54" customHeight="1">
      <x:c r="A171" s="33" t="str">
        <x:v>US-170</x:v>
      </x:c>
      <x:c r="B171" s="33" t="str">
        <x:v>portal-cliente</x:v>
      </x:c>
      <x:c r="C171" s="33" t="str">
        <x:v>/portal/operacao</x:v>
      </x:c>
      <x:c r="D171" s="33" t="str">
        <x:v>alternar, buscar, filtrar e paginar</x:v>
      </x:c>
      <x:c r="E171" s="33" t="str">
        <x:v>Cliente autenticado</x:v>
      </x:c>
      <x:c r="F171" s="34" t="str">
        <x:v>Como cliente autenticado, quero alternar, buscar, filtrar e paginar para concluir o objetivo operacional descrito pela interface.</x:v>
      </x:c>
      <x:c r="G171" s="34" t="str">
        <x:v>Ao alternar, buscar, filtrar e paginar, o sistema deve executar Filtros locais; flattenContainers; páginas 10/25/50/100. Persistência esperada: Nenhuma nova leitura. Resultado observável: tab na URL; devolucao só inicializa filtro de Containers; filtros resetam página. Em falha: Sem resultado mostra vazio; filtros não autorizam nem ampliam o escopo RPC.</x:v>
      </x:c>
      <x:c r="H171" s="34" t="str">
        <x:v>Dados carregados</x:v>
      </x:c>
      <x:c r="I171" s="34" t="str">
        <x:v>PortalOperacao, BlsTab, ContainersTab</x:v>
      </x:c>
      <x:c r="J171" s="34" t="str">
        <x:v>Filtros locais; flattenContainers; páginas 10/25/50/100</x:v>
      </x:c>
      <x:c r="K171" s="34" t="str">
        <x:v>Nenhuma nova leitura</x:v>
      </x:c>
      <x:c r="L171" s="34" t="str">
        <x:v>tab na URL; devolucao só inicializa filtro de Containers; filtros resetam página</x:v>
      </x:c>
      <x:c r="M171" s="34" t="str">
        <x:v>Sem resultado mostra vazio; filtros não autorizam nem ampliam o escopo RPC</x:v>
      </x:c>
      <x:c r="N171" s="34" t="str">
        <x:v>Teste: src/pages/__tests__/PortalOperacao.test.tsx, src/lib/__tests__/portalOperationViews.test.ts</x:v>
      </x:c>
      <x:c r="O171" s="34" t="str">
        <x:v>docs/modules/portal-cliente.md</x:v>
      </x:c>
      <x:c r="P171" s="34" t="str">
        <x:v>Automated</x:v>
      </x:c>
      <x:c r="Q171" s="34" t="str">
        <x:v>Passed</x:v>
      </x:c>
      <x:c r="R171" s="34" t="str"/>
      <x:c r="S171" s="34" t="str">
        <x:v>Not Needed</x:v>
      </x:c>
      <x:c r="T171" s="34" t="str">
        <x:v>Not Applicable</x:v>
      </x:c>
      <x:c r="U171" s="34" t="str">
        <x:v>Passed</x:v>
      </x:c>
      <x:c r="V171" s="34" t="str">
        <x:v>npm test -- --maxWorkers=4 — 598 passed, 9 skipped; focused evidence named in baseline</x:v>
      </x:c>
      <x:c r="W171" s="34" t="str"/>
    </x:row>
    <x:row r="172" ht="54" customHeight="1">
      <x:c r="A172" s="33" t="str">
        <x:v>US-171</x:v>
      </x:c>
      <x:c r="B172" s="33" t="str">
        <x:v>portal-cliente</x:v>
      </x:c>
      <x:c r="C172" s="33" t="str">
        <x:v>/portal/operacao</x:v>
      </x:c>
      <x:c r="D172" s="33" t="str">
        <x:v>derivar devolução/demurrage</x:v>
      </x:c>
      <x:c r="E172" s="33" t="str">
        <x:v>Cliente autenticado</x:v>
      </x:c>
      <x:c r="F172" s="34" t="str">
        <x:v>Como cliente autenticado, quero derivar devolução/demurrage para concluir o objetivo operacional descrito pela interface.</x:v>
      </x:c>
      <x:c r="G172" s="34" t="str">
        <x:v>Ao derivar devolução/demurrage, o sistema deve executar SQL calcula usage_days, free_time_days, demurrage_days e status; cliente deriva contagens/filtros. Persistência esperada: Somente leitura. Resultado observável: Estados: sem_descarga, dentro_free_time, em_demurrage, devolvido. Em falha: Ausência de descarga/free time produz nulos/status conservador; status desconhecido normaliza para sem_descarga.</x:v>
      </x:c>
      <x:c r="H172" s="34" t="str">
        <x:v>Descarga, devolução, free time e tarifa disponíveis</x:v>
      </x:c>
      <x:c r="I172" s="34" t="str">
        <x:v>SQL do RPC; helpers de view para filtros/KPIs</x:v>
      </x:c>
      <x:c r="J172" s="34" t="str">
        <x:v>SQL calcula usage_days, free_time_days, demurrage_days e status; cliente deriva contagens/filtros</x:v>
      </x:c>
      <x:c r="K172" s="34" t="str">
        <x:v>Somente leitura</x:v>
      </x:c>
      <x:c r="L172" s="34" t="str">
        <x:v>Estados: sem_descarga, dentro_free_time, em_demurrage, devolvido</x:v>
      </x:c>
      <x:c r="M172" s="34" t="str">
        <x:v>Ausência de descarga/free time produz nulos/status conservador; status desconhecido normaliza para sem_descarga</x:v>
      </x:c>
      <x:c r="N172" s="34" t="str">
        <x:v>Teste: src/services/__tests__/portalOperation.test.ts, src/lib/__tests__/portalOperationViews.test.ts</x:v>
      </x:c>
      <x:c r="O172" s="34" t="str">
        <x:v>docs/modules/portal-cliente.md</x:v>
      </x:c>
      <x:c r="P172" s="34" t="str">
        <x:v>Automated</x:v>
      </x:c>
      <x:c r="Q172" s="34" t="str">
        <x:v>Passed</x:v>
      </x:c>
      <x:c r="R172" s="34" t="str"/>
      <x:c r="S172" s="34" t="str">
        <x:v>Not Needed</x:v>
      </x:c>
      <x:c r="T172" s="34" t="str">
        <x:v>Not Applicable</x:v>
      </x:c>
      <x:c r="U172" s="34" t="str">
        <x:v>Passed</x:v>
      </x:c>
      <x:c r="V172" s="34" t="str">
        <x:v>npm test -- --maxWorkers=4 — 598 passed, 9 skipped; focused evidence named in baseline</x:v>
      </x:c>
      <x:c r="W172" s="34" t="str"/>
    </x:row>
    <x:row r="173" ht="54" customHeight="1">
      <x:c r="A173" s="33" t="str">
        <x:v>US-172</x:v>
      </x:c>
      <x:c r="B173" s="33" t="str">
        <x:v>portal-cliente</x:v>
      </x:c>
      <x:c r="C173" s="33" t="str">
        <x:v>/portal/operacao</x:v>
      </x:c>
      <x:c r="D173" s="33" t="str">
        <x:v>exportar B/Ls/containers</x:v>
      </x:c>
      <x:c r="E173" s="33" t="str">
        <x:v>Cliente autenticado</x:v>
      </x:c>
      <x:c r="F173" s="34" t="str">
        <x:v>Como cliente autenticado, quero exportar b/ls/containers para concluir o objetivo operacional descrito pela interface.</x:v>
      </x:c>
      <x:c r="G173" s="34" t="str">
        <x:v>Ao exportar b/ls/containers, o sistema deve executar exportPortalBlsWorkbook/exportPortalContainersWorkbook. Persistência esperada: Download XLSX local. Resultado observável: Exporta todas as linhas filtradas, não só a página. Em falha: Sem feedback dedicado de falha.</x:v>
      </x:c>
      <x:c r="H173" s="34" t="str">
        <x:v>Resultado filtrado não vazio</x:v>
      </x:c>
      <x:c r="I173" s="34" t="str">
        <x:v>Botões “Exportar Excel”</x:v>
      </x:c>
      <x:c r="J173" s="34" t="str">
        <x:v>exportPortalBlsWorkbook/exportPortalContainersWorkbook</x:v>
      </x:c>
      <x:c r="K173" s="34" t="str">
        <x:v>Download XLSX local</x:v>
      </x:c>
      <x:c r="L173" s="34" t="str">
        <x:v>Exporta todas as linhas filtradas, não só a página</x:v>
      </x:c>
      <x:c r="M173" s="34" t="str">
        <x:v>Sem feedback dedicado de falha</x:v>
      </x:c>
      <x:c r="N173" s="34" t="str">
        <x:v>Código: src/pages/PortalOperacao.tsx, src/services/exports.ts</x:v>
      </x:c>
      <x:c r="O173" s="34" t="str">
        <x:v>docs/modules/portal-cliente.md</x:v>
      </x:c>
      <x:c r="P173" s="34" t="str">
        <x:v>Runtime</x:v>
      </x:c>
      <x:c r="Q173" s="34" t="str">
        <x:v>Blocked</x:v>
      </x:c>
      <x:c r="R173" s="34" t="str"/>
      <x:c r="S173" s="34" t="str">
        <x:v>Not Needed</x:v>
      </x:c>
      <x:c r="T173" s="34" t="str">
        <x:v>Not Applicable</x:v>
      </x:c>
      <x:c r="U173" s="34" t="str">
        <x:v>Passed</x:v>
      </x:c>
      <x:c r="V173" s="34" t="str">
        <x:v>PortalOperacao test: exporting the BLs and Containers tabs calls the respective workbook exporters with the filtered rows.</x:v>
      </x:c>
      <x:c r="W173" s="34" t="str">
        <x:v>src/pages/__tests__/PortalOperacao.test.tsx</x:v>
      </x:c>
    </x:row>
    <x:row r="174" ht="54" customHeight="1">
      <x:c r="A174" s="33" t="str">
        <x:v>US-173</x:v>
      </x:c>
      <x:c r="B174" s="33" t="str">
        <x:v>portal-cliente</x:v>
      </x:c>
      <x:c r="C174" s="33" t="str">
        <x:v>Layout</x:v>
      </x:c>
      <x:c r="D174" s="33" t="str">
        <x:v>contar/listar notificações</x:v>
      </x:c>
      <x:c r="E174" s="33" t="str">
        <x:v>Usuário interno</x:v>
      </x:c>
      <x:c r="F174" s="34" t="str">
        <x:v>Como usuário interno, quero contar/listar notificações para concluir o objetivo operacional descrito pela interface.</x:v>
      </x:c>
      <x:c r="G174" s="34" t="str">
        <x:v>Ao contar/listar notificações, o sistema deve executar usePortalUnreadCount e usePortalNotifications(open). Persistência esperada: RPCs portal_notification_unread_count, portal_list_notifications(20); tabela portal_notifications. Resultado observável: Queries portal-unread-count e portal-notifications; polling de 30 s. Em falha: Loading/vazio no popover; erros não têm UI dedicada.</x:v>
      </x:c>
      <x:c r="H174" s="34" t="str">
        <x:v>Overview autenticado; lista habilitada ao abrir sino</x:v>
      </x:c>
      <x:c r="I174" s="34" t="str">
        <x:v>NotificationBell</x:v>
      </x:c>
      <x:c r="J174" s="34" t="str">
        <x:v>usePortalUnreadCount e usePortalNotifications(open)</x:v>
      </x:c>
      <x:c r="K174" s="34" t="str">
        <x:v>RPCs portal_notification_unread_count, portal_list_notifications(20); tabela portal_notifications</x:v>
      </x:c>
      <x:c r="L174" s="34" t="str">
        <x:v>Queries portal-unread-count e portal-notifications; polling de 30 s</x:v>
      </x:c>
      <x:c r="M174" s="34" t="str">
        <x:v>Loading/vazio no popover; erros não têm UI dedicada</x:v>
      </x:c>
      <x:c r="N174" s="34" t="str">
        <x:v>Código: src/components/portal/NotificationBell.tsx, src/hooks/usePortalNotifications.ts</x:v>
      </x:c>
      <x:c r="O174" s="34" t="str">
        <x:v>docs/modules/portal-cliente.md</x:v>
      </x:c>
      <x:c r="P174" s="34" t="str">
        <x:v>Runtime</x:v>
      </x:c>
      <x:c r="Q174" s="34" t="str">
        <x:v>Blocked</x:v>
      </x:c>
      <x:c r="R174" s="34" t="str"/>
      <x:c r="S174" s="34" t="str">
        <x:v>Not Needed</x:v>
      </x:c>
      <x:c r="T174" s="34" t="str">
        <x:v>Not Applicable</x:v>
      </x:c>
      <x:c r="U174" s="34" t="str">
        <x:v>Passed</x:v>
      </x:c>
      <x:c r="V174" s="34" t="str">
        <x:v>NotificationBell test: shows the unread badge count and lists notifications when opened.</x:v>
      </x:c>
      <x:c r="W174" s="34" t="str">
        <x:v>src/components/portal/__tests__/NotificationBell.behavior.test.tsx</x:v>
      </x:c>
    </x:row>
    <x:row r="175" ht="54" customHeight="1">
      <x:c r="A175" s="33" t="str">
        <x:v>US-174</x:v>
      </x:c>
      <x:c r="B175" s="33" t="str">
        <x:v>portal-cliente</x:v>
      </x:c>
      <x:c r="C175" s="33" t="str">
        <x:v>Layout</x:v>
      </x:c>
      <x:c r="D175" s="33" t="str">
        <x:v>marcar uma/todas como lidas</x:v>
      </x:c>
      <x:c r="E175" s="33" t="str">
        <x:v>Usuário interno</x:v>
      </x:c>
      <x:c r="F175" s="34" t="str">
        <x:v>Como usuário interno, quero marcar uma/todas como lidas para concluir o objetivo operacional descrito pela interface.</x:v>
      </x:c>
      <x:c r="G175" s="34" t="str">
        <x:v>Ao marcar uma/todas como lidas, o sistema deve executar usePortalMarkRead/usePortalMarkAllRead. Persistência esperada: RPCs atualizam portal_notifications.read_at escopado ao cliente. Resultado observável: Invalida lista e contador. Em falha: Mutation sem feedback de erro; clique não navega para notification.link.</x:v>
      </x:c>
      <x:c r="H175" s="34" t="str">
        <x:v>Notificação do cliente ou contagem &gt; 0</x:v>
      </x:c>
      <x:c r="I175" s="34" t="str">
        <x:v>Clique na linha ou ação “Marcar todas”</x:v>
      </x:c>
      <x:c r="J175" s="34" t="str">
        <x:v>usePortalMarkRead/usePortalMarkAllRead</x:v>
      </x:c>
      <x:c r="K175" s="34" t="str">
        <x:v>RPCs atualizam portal_notifications.read_at escopado ao cliente</x:v>
      </x:c>
      <x:c r="L175" s="34" t="str">
        <x:v>Invalida lista e contador</x:v>
      </x:c>
      <x:c r="M175" s="34" t="str">
        <x:v>Mutation sem feedback de erro; clique não navega para notification.link</x:v>
      </x:c>
      <x:c r="N175" s="34" t="str">
        <x:v>Código: hooks e supabase/migrations/20260615000003_portal_fase2_notifications_disputes_profile.sql</x:v>
      </x:c>
      <x:c r="O175" s="34" t="str">
        <x:v>docs/modules/portal-cliente.md</x:v>
      </x:c>
      <x:c r="P175" s="34" t="str">
        <x:v>Runtime</x:v>
      </x:c>
      <x:c r="Q175" s="34" t="str">
        <x:v>Blocked</x:v>
      </x:c>
      <x:c r="R175" s="34" t="str"/>
      <x:c r="S175" s="34" t="str">
        <x:v>Not Needed</x:v>
      </x:c>
      <x:c r="T175" s="34" t="str">
        <x:v>Not Applicable</x:v>
      </x:c>
      <x:c r="U175" s="34" t="str">
        <x:v>Passed</x:v>
      </x:c>
      <x:c r="V175" s="34" t="str">
        <x:v>NotificationBell test: selecting a notification marks it read; the header action marks all as read.</x:v>
      </x:c>
      <x:c r="W175" s="34" t="str">
        <x:v>src/components/portal/__tests__/NotificationBell.behavior.test.tsx</x:v>
      </x:c>
    </x:row>
    <x:row r="176" ht="54" customHeight="1">
      <x:c r="A176" s="33" t="str">
        <x:v>US-175</x:v>
      </x:c>
      <x:c r="B176" s="33" t="str">
        <x:v>portal-cliente</x:v>
      </x:c>
      <x:c r="C176" s="33" t="str">
        <x:v>/portal/perfil</x:v>
      </x:c>
      <x:c r="D176" s="33" t="str">
        <x:v>carregar perfil</x:v>
      </x:c>
      <x:c r="E176" s="33" t="str">
        <x:v>Cliente autenticado</x:v>
      </x:c>
      <x:c r="F176" s="34" t="str">
        <x:v>Como cliente autenticado, quero carregar perfil para concluir o objetivo operacional descrito pela interface.</x:v>
      </x:c>
      <x:c r="G176" s="34" t="str">
        <x:v>Ao carregar perfil, o sistema deve executar portalGetProfile. Persistência esperada: RPC portal_get_profile; lê conta, cliente e primeiro contato faturamento. Resultado observável: Preenche estado local; fallback do email vem do overview. Em falha: Erro é silenciosamente ignorado e pode deixar formulário vazio.</x:v>
      </x:c>
      <x:c r="H176" s="34" t="str">
        <x:v>Sessão autenticada</x:v>
      </x:c>
      <x:c r="I176" s="34" t="str">
        <x:v>PortalProfile.useEffect</x:v>
      </x:c>
      <x:c r="J176" s="34" t="str">
        <x:v>portalGetProfile</x:v>
      </x:c>
      <x:c r="K176" s="34" t="str">
        <x:v>RPC portal_get_profile; lê conta, cliente e primeiro contato faturamento</x:v>
      </x:c>
      <x:c r="L176" s="34" t="str">
        <x:v>Preenche estado local; fallback do email vem do overview</x:v>
      </x:c>
      <x:c r="M176" s="34" t="str">
        <x:v>Erro é silenciosamente ignorado e pode deixar formulário vazio</x:v>
      </x:c>
      <x:c r="N176" s="34" t="str">
        <x:v>Código: src/pages/PortalProfile.tsx, src/services/portalBilling.ts</x:v>
      </x:c>
      <x:c r="O176" s="34" t="str">
        <x:v>docs/modules/portal-cliente.md</x:v>
      </x:c>
      <x:c r="P176" s="34" t="str">
        <x:v>Runtime</x:v>
      </x:c>
      <x:c r="Q176" s="34" t="str">
        <x:v>Failed</x:v>
      </x:c>
      <x:c r="R176" s="34" t="str">
        <x:v>DEF-004</x:v>
      </x:c>
      <x:c r="S176" s="34" t="str">
        <x:v>Fixed</x:v>
      </x:c>
      <x:c r="T176" s="34" t="str">
        <x:v>Passed</x:v>
      </x:c>
      <x:c r="U176" s="34" t="str">
        <x:v>Passed</x:v>
      </x:c>
      <x:c r="V176" s="34" t="str">
        <x:v>Post-fix focused tests passed: DEF-004</x:v>
      </x:c>
      <x:c r="W176" s="34" t="str">
        <x:v>Falha ao carregar perfil do Portal aparece como dados vazios</x:v>
      </x:c>
    </x:row>
    <x:row r="177" ht="54" customHeight="1">
      <x:c r="A177" s="33" t="str">
        <x:v>US-176</x:v>
      </x:c>
      <x:c r="B177" s="33" t="str">
        <x:v>portal-cliente</x:v>
      </x:c>
      <x:c r="C177" s="33" t="str">
        <x:v>/portal/perfil</x:v>
      </x:c>
      <x:c r="D177" s="33" t="str">
        <x:v>atualizar contato/endereço</x:v>
      </x:c>
      <x:c r="E177" s="33" t="str">
        <x:v>Cliente autenticado</x:v>
      </x:c>
      <x:c r="F177" s="34" t="str">
        <x:v>Como cliente autenticado, quero atualizar contato/endereço para concluir o objetivo operacional descrito pela interface.</x:v>
      </x:c>
      <x:c r="G177" s="34" t="str">
        <x:v>Ao atualizar contato/endereço, o sistema deve executar portalUpdateProfile → refreshOverview. Persistência esperada: RPC portal_update_profile; UPDATE customer_portal_accounts.contact_email, campos de endereço em customers e telefone do contato faturamento (cria se ausente). Resultado observável: Atualiza overview; não há query de perfil em cache. Em falha: Erro do RPC aparece inline; campos vazios de endereço não apagam valor existente.</x:v>
      </x:c>
      <x:c r="H177" s="34" t="str">
        <x:v>Sessão autenticada; formulário submetido</x:v>
      </x:c>
      <x:c r="I177" s="34" t="str">
        <x:v>PortalProfile.handleSubmit</x:v>
      </x:c>
      <x:c r="J177" s="34" t="str">
        <x:v>portalUpdateProfile → refreshOverview</x:v>
      </x:c>
      <x:c r="K177" s="34" t="str">
        <x:v>RPC portal_update_profile; UPDATE customer_portal_accounts.contact_email, campos de endereço em customers e telefone do contato faturamento (cria se ausente)</x:v>
      </x:c>
      <x:c r="L177" s="34" t="str">
        <x:v>Atualiza overview; não há query de perfil em cache</x:v>
      </x:c>
      <x:c r="M177" s="34" t="str">
        <x:v>Erro do RPC aparece inline; campos vazios de endereço não apagam valor existente</x:v>
      </x:c>
      <x:c r="N177" s="34" t="str">
        <x:v>Código: src/pages/PortalProfile.tsx, supabase/migrations/20260615145427_portal_fixes_post_pr227.sql</x:v>
      </x:c>
      <x:c r="O177" s="34" t="str">
        <x:v>docs/modules/portal-cliente.md</x:v>
      </x:c>
      <x:c r="P177" s="34" t="str">
        <x:v>Runtime</x:v>
      </x:c>
      <x:c r="Q177" s="34" t="str">
        <x:v>Blocked</x:v>
      </x:c>
      <x:c r="R177" s="34" t="str"/>
      <x:c r="S177" s="34" t="str">
        <x:v>Not Needed</x:v>
      </x:c>
      <x:c r="T177" s="34" t="str">
        <x:v>Not Applicable</x:v>
      </x:c>
      <x:c r="U177" s="34" t="str">
        <x:v>Passed</x:v>
      </x:c>
      <x:c r="V177" s="34" t="str">
        <x:v>portalUpdateProfile test maps the contact/address fields to the RPC parameters and propagates errors.</x:v>
      </x:c>
      <x:c r="W177" s="34" t="str">
        <x:v>src/services/__tests__/portalBillingMutations.test.ts</x:v>
      </x:c>
    </x:row>
    <x:row r="178" ht="54" customHeight="1">
      <x:c r="A178" s="33" t="str">
        <x:v>US-177</x:v>
      </x:c>
      <x:c r="B178" s="33" t="str">
        <x:v>reconciliacao-pix</x:v>
      </x:c>
      <x:c r="C178" s="33" t="str">
        <x:v>/reconciliacao · selecionar/upload de planilha</x:v>
      </x:c>
      <x:c r="D178" s="33" t="str">
        <x:v>/reconciliacao · selecionar/upload de planilha</x:v>
      </x:c>
      <x:c r="E178" s="33" t="str">
        <x:v>Usuário interno</x:v>
      </x:c>
      <x:c r="F178" s="34" t="str">
        <x:v>Como usuário interno, quero /reconciliacao · selecionar/upload de planilha para concluir o objetivo operacional descrito pela interface.</x:v>
      </x:c>
      <x:c r="G178" s="34" t="str">
        <x:v>Ao /reconciliacao · selecionar/upload de planilha, o sistema deve executar matchMutation chama parsePixExtractFile. Persistência esperada: Leitura local do arquivo; sem escrita remota. Resultado observável: Limpa matches e confirmationResult; inicia estado de processamento. Em falha: Arquivo grande, formato inválido ou nenhuma transação gera toast de erro.</x:v>
      </x:c>
      <x:c r="H178" s="34" t="str">
        <x:v>Arquivo .xlsx/.xls dentro do limite</x:v>
      </x:c>
      <x:c r="I178" s="34" t="str">
        <x:v>Dropzone/input → processFile</x:v>
      </x:c>
      <x:c r="J178" s="34" t="str">
        <x:v>matchMutation chama parsePixExtractFile</x:v>
      </x:c>
      <x:c r="K178" s="34" t="str">
        <x:v>Leitura local do arquivo; sem escrita remota</x:v>
      </x:c>
      <x:c r="L178" s="34" t="str">
        <x:v>Limpa matches e confirmationResult; inicia estado de processamento</x:v>
      </x:c>
      <x:c r="M178" s="34" t="str">
        <x:v>Arquivo grande, formato inválido ou nenhuma transação gera toast de erro</x:v>
      </x:c>
      <x:c r="N178" s="34" t="str">
        <x:v>Código: src/pages/Reconciliacao.tsx, src/services/demurrage/demurrageKpis.ts</x:v>
      </x:c>
      <x:c r="O178" s="34" t="str">
        <x:v>docs/modules/reconciliacao-pix.md</x:v>
      </x:c>
      <x:c r="P178" s="34" t="str">
        <x:v>Runtime</x:v>
      </x:c>
      <x:c r="Q178" s="34" t="str">
        <x:v>Blocked</x:v>
      </x:c>
      <x:c r="R178" s="34" t="str"/>
      <x:c r="S178" s="34" t="str">
        <x:v>Not Needed</x:v>
      </x:c>
      <x:c r="T178" s="34" t="str">
        <x:v>Not Applicable</x:v>
      </x:c>
      <x:c r="U178" s="34" t="str">
        <x:v>Passed</x:v>
      </x:c>
      <x:c r="V178" s="34" t="str">
        <x:v>Page behavior and upload-limit tests validate file selection, processing state and guarded parsing.</x:v>
      </x:c>
      <x:c r="W178" s="34" t="str">
        <x:v>Reconciliacao.behavior.test.tsx; uploadLimits.test.ts</x:v>
      </x:c>
    </x:row>
    <x:row r="179" ht="54" customHeight="1">
      <x:c r="A179" s="33" t="str">
        <x:v>US-178</x:v>
      </x:c>
      <x:c r="B179" s="33" t="str">
        <x:v>reconciliacao-pix</x:v>
      </x:c>
      <x:c r="C179" s="33" t="str">
        <x:v>Parser · extrair linhas bancárias</x:v>
      </x:c>
      <x:c r="D179" s="33" t="str">
        <x:v>Parser · extrair linhas bancárias</x:v>
      </x:c>
      <x:c r="E179" s="33" t="str">
        <x:v>Usuário interno</x:v>
      </x:c>
      <x:c r="F179" s="34" t="str">
        <x:v>Como usuário interno, quero parser · extrair linhas bancárias para concluir o objetivo operacional descrito pela interface.</x:v>
      </x:c>
      <x:c r="G179" s="34" t="str">
        <x:v>Ao parser · extrair linhas bancárias, o sistema deve executar assertUploadSize → parsePixExtract → import dinâmico de @e965/xlsx. Persistência esperada: Nenhuma persistência. Resultado observável: Retorna {txid, cnpj, date, amount}; ignora TXID vazio/valor não positivo. Em falha: Cabeçalho/valor ausente lança erro; data inválida vira string vazia e falhará na confirmação.</x:v>
      </x:c>
      <x:c r="H179" s="34" t="str">
        <x:v>Cabeçalho identificador e coluna valor pago</x:v>
      </x:c>
      <x:c r="I179" s="34" t="str">
        <x:v>parsePixExtractFile</x:v>
      </x:c>
      <x:c r="J179" s="34" t="str">
        <x:v>assertUploadSize → parsePixExtract → import dinâmico de @e965/xlsx</x:v>
      </x:c>
      <x:c r="K179" s="34" t="str">
        <x:v>Nenhuma persistência</x:v>
      </x:c>
      <x:c r="L179" s="34" t="str">
        <x:v>Retorna {txid, cnpj, date, amount}; ignora TXID vazio/valor não positivo</x:v>
      </x:c>
      <x:c r="M179" s="34" t="str">
        <x:v>Cabeçalho/valor ausente lança erro; data inválida vira string vazia e falhará na confirmação</x:v>
      </x:c>
      <x:c r="N179" s="34" t="str">
        <x:v>Código: src/services/demurrage/demurrageKpis.ts</x:v>
      </x:c>
      <x:c r="O179" s="34" t="str">
        <x:v>docs/modules/reconciliacao-pix.md</x:v>
      </x:c>
      <x:c r="P179" s="34" t="str">
        <x:v>Runtime</x:v>
      </x:c>
      <x:c r="Q179" s="34" t="str">
        <x:v>Blocked</x:v>
      </x:c>
      <x:c r="R179" s="34" t="str"/>
      <x:c r="S179" s="34" t="str">
        <x:v>Not Needed</x:v>
      </x:c>
      <x:c r="T179" s="34" t="str">
        <x:v>Not Applicable</x:v>
      </x:c>
      <x:c r="U179" s="34" t="str">
        <x:v>Passed</x:v>
      </x:c>
      <x:c r="V179" s="34" t="str">
        <x:v>Parser tests validate headers, positive amounts, normalized dates and ignored invalid rows.</x:v>
      </x:c>
      <x:c r="W179" s="34" t="str">
        <x:v>src/services/__tests__/demurrageKpis.test.ts</x:v>
      </x:c>
    </x:row>
    <x:row r="180" ht="54" customHeight="1">
      <x:c r="A180" s="33" t="str">
        <x:v>US-179</x:v>
      </x:c>
      <x:c r="B180" s="33" t="str">
        <x:v>reconciliacao-pix</x:v>
      </x:c>
      <x:c r="C180" s="33" t="str">
        <x:v>Matching · carregar documentos locais e Demurrage</x:v>
      </x:c>
      <x:c r="D180" s="33" t="str">
        <x:v>Matching · carregar documentos locais e Demurrage</x:v>
      </x:c>
      <x:c r="E180" s="33" t="str">
        <x:v>Usuário interno</x:v>
      </x:c>
      <x:c r="F180" s="34" t="str">
        <x:v>Como usuário interno, quero matching · carregar documentos locais e demurrage para concluir o objetivo operacional descrito pela interface.</x:v>
      </x:c>
      <x:c r="G180" s="34" t="str">
        <x:v>Ao matching · carregar documentos locais e demurrage, o sistema deve executar Duas queries paralelas; normalização alfanumérica maiúscula. Persistência esperada: SELECT invoices locais pagáveis e SELECT demurrage_invoices emitidas. Resultado observável: Sem cache React Query; monta mapa único de TXID para os dois domínios. Em falha: Erro de qualquer query aborta o matching.</x:v>
      </x:c>
      <x:c r="H180" s="34" t="str">
        <x:v>Transações parseadas</x:v>
      </x:c>
      <x:c r="I180" s="34" t="str">
        <x:v>matchUnifiedPixTransactions</x:v>
      </x:c>
      <x:c r="J180" s="34" t="str">
        <x:v>Duas queries paralelas; normalização alfanumérica maiúscula</x:v>
      </x:c>
      <x:c r="K180" s="34" t="str">
        <x:v>SELECT invoices locais pagáveis e SELECT demurrage_invoices emitidas</x:v>
      </x:c>
      <x:c r="L180" s="34" t="str">
        <x:v>Sem cache React Query; monta mapa único de TXID para os dois domínios</x:v>
      </x:c>
      <x:c r="M180" s="34" t="str">
        <x:v>Erro de qualquer query aborta o matching</x:v>
      </x:c>
      <x:c r="N180" s="34" t="str">
        <x:v>Código: src/services/reconciliacao.ts · Teste: src/services/__tests__/reconciliacao.test.ts</x:v>
      </x:c>
      <x:c r="O180" s="34" t="str">
        <x:v>docs/modules/reconciliacao-pix.md</x:v>
      </x:c>
      <x:c r="P180" s="34" t="str">
        <x:v>Automated</x:v>
      </x:c>
      <x:c r="Q180" s="34" t="str">
        <x:v>Passed</x:v>
      </x:c>
      <x:c r="R180" s="34" t="str"/>
      <x:c r="S180" s="34" t="str">
        <x:v>Not Needed</x:v>
      </x:c>
      <x:c r="T180" s="34" t="str">
        <x:v>Not Applicable</x:v>
      </x:c>
      <x:c r="U180" s="34" t="str">
        <x:v>Passed</x:v>
      </x:c>
      <x:c r="V180" s="34" t="str">
        <x:v>Service tests validate parallel local/Demurrage candidate loading and TXID-only matching.</x:v>
      </x:c>
      <x:c r="W180" s="34" t="str">
        <x:v>src/services/__tests__/reconciliacao.test.ts</x:v>
      </x:c>
    </x:row>
    <x:row r="181" ht="54" customHeight="1">
      <x:c r="A181" s="33" t="str">
        <x:v>US-180</x:v>
      </x:c>
      <x:c r="B181" s="33" t="str">
        <x:v>reconciliacao-pix</x:v>
      </x:c>
      <x:c r="C181" s="33" t="str">
        <x:v>Matching · classificar sem match</x:v>
      </x:c>
      <x:c r="D181" s="33" t="str">
        <x:v>Matching · classificar sem match</x:v>
      </x:c>
      <x:c r="E181" s="33" t="str">
        <x:v>Usuário interno</x:v>
      </x:c>
      <x:c r="F181" s="34" t="str">
        <x:v>Como usuário interno, quero matching · classificar sem match para concluir o objetivo operacional descrito pela interface.</x:v>
      </x:c>
      <x:c r="G181" s="34" t="str">
        <x:v>Ao matching · classificar sem match, o sistema deve executar txidMap.get(key) retorna vazio. Persistência esperada: Sem persistência. Resultado observável: Retorna linha source = unmatched, painel dedicado e contagem; nunca entra na confirmação. Em falha: Nenhum documento é alterado.</x:v>
      </x:c>
      <x:c r="H181" s="34" t="str">
        <x:v>TXID sem candidato aberto</x:v>
      </x:c>
      <x:c r="I181" s="34" t="str">
        <x:v>Loop de matchUnifiedPixTransactions</x:v>
      </x:c>
      <x:c r="J181" s="34" t="str">
        <x:v>txidMap.get(key) retorna vazio</x:v>
      </x:c>
      <x:c r="K181" s="34" t="str">
        <x:v>Sem persistência</x:v>
      </x:c>
      <x:c r="L181" s="34" t="str">
        <x:v>Retorna linha source = unmatched, painel dedicado e contagem; nunca entra na confirmação</x:v>
      </x:c>
      <x:c r="M181" s="34" t="str">
        <x:v>Nenhum documento é alterado</x:v>
      </x:c>
      <x:c r="N181" s="34" t="str">
        <x:v>Código: src/services/reconciliacao.ts, src/pages/Reconciliacao.tsx · Teste: src/services/__tests__/reconciliacao.test.ts, src/pages/__tests__/Reconciliacao.behavior.test.tsx</x:v>
      </x:c>
      <x:c r="O181" s="34" t="str">
        <x:v>docs/modules/reconciliacao-pix.md</x:v>
      </x:c>
      <x:c r="P181" s="34" t="str">
        <x:v>Automated</x:v>
      </x:c>
      <x:c r="Q181" s="34" t="str">
        <x:v>Passed</x:v>
      </x:c>
      <x:c r="R181" s="34" t="str"/>
      <x:c r="S181" s="34" t="str">
        <x:v>Not Needed</x:v>
      </x:c>
      <x:c r="T181" s="34" t="str">
        <x:v>Not Applicable</x:v>
      </x:c>
      <x:c r="U181" s="34" t="str">
        <x:v>Passed</x:v>
      </x:c>
      <x:c r="V181" s="34" t="str">
        <x:v>Service and page tests validate visible unmatched rows excluded from confirmation.</x:v>
      </x:c>
      <x:c r="W181" s="34" t="str">
        <x:v>reconciliacao.test.ts; Reconciliacao.behavior.test.tsx</x:v>
      </x:c>
    </x:row>
    <x:row r="182" ht="54" customHeight="1">
      <x:c r="A182" s="33" t="str">
        <x:v>US-181</x:v>
      </x:c>
      <x:c r="B182" s="33" t="str">
        <x:v>reconciliacao-pix</x:v>
      </x:c>
      <x:c r="C182" s="33" t="str">
        <x:v>Matching · classificar ambiguidade de documento/TXID</x:v>
      </x:c>
      <x:c r="D182" s="33" t="str">
        <x:v>Matching · classificar ambiguidade de documento/TXID</x:v>
      </x:c>
      <x:c r="E182" s="33" t="str">
        <x:v>Usuário interno</x:v>
      </x:c>
      <x:c r="F182" s="34" t="str">
        <x:v>Como usuário interno, quero matching · classificar ambiguidade de documento/txid para concluir o objetivo operacional descrito pela interface.</x:v>
      </x:c>
      <x:c r="G182" s="34" t="str">
        <x:v>Ao matching · classificar ambiguidade de documento/txid, o sistema deve executar entries.length &gt; 1 ou seenTxids. Persistência esperada: Sem persistência. Resultado observável: ambiguous = true, motivo e candidateCount; UI move para painel ignorado. Em falha: Não há seleção manual de candidato nesta tela.</x:v>
      </x:c>
      <x:c r="H182" s="34" t="str">
        <x:v>Mais de um documento com TXID normalizado ou TXID repetido no extrato</x:v>
      </x:c>
      <x:c r="I182" s="34" t="str">
        <x:v>Mesmo loop</x:v>
      </x:c>
      <x:c r="J182" s="34" t="str">
        <x:v>entries.length &gt; 1 ou seenTxids</x:v>
      </x:c>
      <x:c r="K182" s="34" t="str">
        <x:v>Sem persistência</x:v>
      </x:c>
      <x:c r="L182" s="34" t="str">
        <x:v>ambiguous = true, motivo e candidateCount; UI move para painel ignorado</x:v>
      </x:c>
      <x:c r="M182" s="34" t="str">
        <x:v>Não há seleção manual de candidato nesta tela</x:v>
      </x:c>
      <x:c r="N182" s="34" t="str">
        <x:v>Código: src/services/reconciliacao.ts, src/pages/Reconciliacao.tsx · Teste: src/services/__tests__/reconciliacao.test.ts</x:v>
      </x:c>
      <x:c r="O182" s="34" t="str">
        <x:v>docs/modules/reconciliacao-pix.md</x:v>
      </x:c>
      <x:c r="P182" s="34" t="str">
        <x:v>Automated</x:v>
      </x:c>
      <x:c r="Q182" s="34" t="str">
        <x:v>Passed</x:v>
      </x:c>
      <x:c r="R182" s="34" t="str"/>
      <x:c r="S182" s="34" t="str">
        <x:v>Not Needed</x:v>
      </x:c>
      <x:c r="T182" s="34" t="str">
        <x:v>Not Applicable</x:v>
      </x:c>
      <x:c r="U182" s="34" t="str">
        <x:v>Passed</x:v>
      </x:c>
      <x:c r="V182" s="34" t="str">
        <x:v>Service and page tests validate duplicate/cross-domain TXIDs and the dedicated ambiguity panel.</x:v>
      </x:c>
      <x:c r="W182" s="34" t="str">
        <x:v>reconciliacao.test.ts; Reconciliacao.behavior.test.tsx</x:v>
      </x:c>
    </x:row>
    <x:row r="183" ht="54" customHeight="1">
      <x:c r="A183" s="33" t="str">
        <x:v>US-182</x:v>
      </x:c>
      <x:c r="B183" s="33" t="str">
        <x:v>reconciliacao-pix</x:v>
      </x:c>
      <x:c r="C183" s="33" t="str">
        <x:v>Matching · classificar divergência de valor</x:v>
      </x:c>
      <x:c r="D183" s="33" t="str">
        <x:v>Matching · classificar divergência de valor</x:v>
      </x:c>
      <x:c r="E183" s="33" t="str">
        <x:v>Usuário interno</x:v>
      </x:c>
      <x:c r="F183" s="34" t="str">
        <x:v>Como usuário interno, quero matching · classificar divergência de valor para concluir o objetivo operacional descrito pela interface.</x:v>
      </x:c>
      <x:c r="G183" s="34" t="str">
        <x:v>Ao matching · classificar divergência de valor, o sistema deve executar Compara transação com saldo local ou frozen_total_brl. Persistência esperada: Sem persistência. Resultado observável: Marca como ambíguo; local e Demurrage recebem motivos distintos. Em falha: Não existe pagamento parcial por PIX neste fluxo.</x:v>
      </x:c>
      <x:c r="H183" s="34" t="str">
        <x:v>Diferença absoluta maior que 0,01 ou valor esperado não numérico</x:v>
      </x:c>
      <x:c r="I183" s="34" t="str">
        <x:v>Mesmo loop</x:v>
      </x:c>
      <x:c r="J183" s="34" t="str">
        <x:v>Compara transação com saldo local ou frozen_total_brl</x:v>
      </x:c>
      <x:c r="K183" s="34" t="str">
        <x:v>Sem persistência</x:v>
      </x:c>
      <x:c r="L183" s="34" t="str">
        <x:v>Marca como ambíguo; local e Demurrage recebem motivos distintos</x:v>
      </x:c>
      <x:c r="M183" s="34" t="str">
        <x:v>Não existe pagamento parcial por PIX neste fluxo</x:v>
      </x:c>
      <x:c r="N183" s="34" t="str">
        <x:v>Código: src/services/reconciliacao.ts · Teste: src/services/__tests__/reconciliacao.test.ts</x:v>
      </x:c>
      <x:c r="O183" s="34" t="str">
        <x:v>docs/modules/reconciliacao-pix.md</x:v>
      </x:c>
      <x:c r="P183" s="34" t="str">
        <x:v>Automated</x:v>
      </x:c>
      <x:c r="Q183" s="34" t="str">
        <x:v>Passed</x:v>
      </x:c>
      <x:c r="R183" s="34" t="str"/>
      <x:c r="S183" s="34" t="str">
        <x:v>Not Needed</x:v>
      </x:c>
      <x:c r="T183" s="34" t="str">
        <x:v>Not Applicable</x:v>
      </x:c>
      <x:c r="U183" s="34" t="str">
        <x:v>Passed</x:v>
      </x:c>
      <x:c r="V183" s="34" t="str">
        <x:v>Service tests validate exact-value tolerance and block both local and Demurrage differences.</x:v>
      </x:c>
      <x:c r="W183" s="34" t="str">
        <x:v>src/services/__tests__/reconciliacao.test.ts</x:v>
      </x:c>
    </x:row>
    <x:row r="184" ht="54" customHeight="1">
      <x:c r="A184" s="33" t="str">
        <x:v>US-183</x:v>
      </x:c>
      <x:c r="B184" s="33" t="str">
        <x:v>reconciliacao-pix</x:v>
      </x:c>
      <x:c r="C184" s="33" t="str">
        <x:v>/reconciliacao · confirmar somente não ambíguos</x:v>
      </x:c>
      <x:c r="D184" s="33" t="str">
        <x:v>/reconciliacao · confirmar somente não ambíguos</x:v>
      </x:c>
      <x:c r="E184" s="33" t="str">
        <x:v>Usuário interno</x:v>
      </x:c>
      <x:c r="F184" s="34" t="str">
        <x:v>Como usuário interno, quero /reconciliacao · confirmar somente não ambíguos para concluir o objetivo operacional descrito pela interface.</x:v>
      </x:c>
      <x:c r="G184" s="34" t="str">
        <x:v>Ao /reconciliacao · confirmar somente não ambíguos, o sistema deve executar Filtra !ambiguous; confirmUnifiedPixReconciliation refiltra e monta JSON. Persistência esperada: RPC confirm_unified_pix_matches. Resultado observável: Em sucesso invalida Demurrage, invoices, KPIs, B/Ls, detalhe de B/L, cliente e histórico. Em falha: Data vazia falha antes da RPC; qualquer erro do lote é propagado.</x:v>
      </x:c>
      <x:c r="H184" s="34" t="str">
        <x:v>Ao menos um match seguro; data parseada</x:v>
      </x:c>
      <x:c r="I184" s="34" t="str">
        <x:v>confirmMutation</x:v>
      </x:c>
      <x:c r="J184" s="34" t="str">
        <x:v>Filtra !ambiguous; confirmUnifiedPixReconciliation refiltra e monta JSON</x:v>
      </x:c>
      <x:c r="K184" s="34" t="str">
        <x:v>RPC confirm_unified_pix_matches</x:v>
      </x:c>
      <x:c r="L184" s="34" t="str">
        <x:v>Em sucesso invalida Demurrage, invoices, KPIs, B/Ls, detalhe de B/L, cliente e histórico</x:v>
      </x:c>
      <x:c r="M184" s="34" t="str">
        <x:v>Data vazia falha antes da RPC; qualquer erro do lote é propagado</x:v>
      </x:c>
      <x:c r="N184" s="34" t="str">
        <x:v>Código: src/pages/Reconciliacao.tsx, src/services/reconciliacao.ts · Teste: src/services/__tests__/reconciliacao.test.ts</x:v>
      </x:c>
      <x:c r="O184" s="34" t="str">
        <x:v>docs/modules/reconciliacao-pix.md</x:v>
      </x:c>
      <x:c r="P184" s="34" t="str">
        <x:v>Automated</x:v>
      </x:c>
      <x:c r="Q184" s="34" t="str">
        <x:v>Failed</x:v>
      </x:c>
      <x:c r="R184" s="34" t="str">
        <x:v>DEF-008</x:v>
      </x:c>
      <x:c r="S184" s="34" t="str">
        <x:v>Fixed</x:v>
      </x:c>
      <x:c r="T184" s="34" t="str">
        <x:v>Passed</x:v>
      </x:c>
      <x:c r="U184" s="34" t="str">
        <x:v>Passed</x:v>
      </x:c>
      <x:c r="V184" s="34" t="str">
        <x:v>Post-fix focused tests passed: DEF-008</x:v>
      </x:c>
      <x:c r="W184" s="34" t="str">
        <x:v>Filtro Único BL usa valor incompatível com invoice_type | Reconciliacao.behavior.test.tsx; reconciliacao.test.ts</x:v>
      </x:c>
    </x:row>
    <x:row r="185" ht="54" customHeight="1">
      <x:c r="A185" s="33" t="str">
        <x:v>US-184</x:v>
      </x:c>
      <x:c r="B185" s="33" t="str">
        <x:v>reconciliacao-pix</x:v>
      </x:c>
      <x:c r="C185" s="33" t="str">
        <x:v>RPC unificada · conciliar item local</x:v>
      </x:c>
      <x:c r="D185" s="33" t="str">
        <x:v>RPC unificada · conciliar item local</x:v>
      </x:c>
      <x:c r="E185" s="33" t="str">
        <x:v>Usuário interno</x:v>
      </x:c>
      <x:c r="F185" s="34" t="str">
        <x:v>Como usuário interno, quero rpc unificada · conciliar item local para concluir o objetivo operacional descrito pela interface.</x:v>
      </x:c>
      <x:c r="G185" s="34" t="str">
        <x:v>Ao rpc unificada · conciliar item local, o sistema deve executar reconcile_invoice_payment_by_txid → register_ledger_invoice_payment. Persistência esperada: payments, ledger_settlements, bl_receivables, links, invoice, B/Ls e eventos. Resultado observável: Item {source: local, status: ok}; transação inteira aborta se um item falhar. Em falha: Sem match, ambíguo no domínio local, já conciliado ou valor inexato gera falha do lote.</x:v>
      </x:c>
      <x:c r="H185" s="34" t="str">
        <x:v>source = local, data presente, TXID casa uma invoice pagável e valor quita saldo</x:v>
      </x:c>
      <x:c r="I185" s="34" t="str">
        <x:v>confirm_unified_pix_matches</x:v>
      </x:c>
      <x:c r="J185" s="34" t="str">
        <x:v>reconcile_invoice_payment_by_txid → register_ledger_invoice_payment</x:v>
      </x:c>
      <x:c r="K185" s="34" t="str">
        <x:v>payments, ledger_settlements, bl_receivables, links, invoice, B/Ls e eventos</x:v>
      </x:c>
      <x:c r="L185" s="34" t="str">
        <x:v>Item {source: local, status: ok}; transação inteira aborta se um item falhar</x:v>
      </x:c>
      <x:c r="M185" s="34" t="str">
        <x:v>Sem match, ambíguo no domínio local, já conciliado ou valor inexato gera falha do lote</x:v>
      </x:c>
      <x:c r="N185" s="34" t="str">
        <x:v>Código: supabase/migrations/20260612161000_confirm_unified_pix_matches.sql, supabase/migrations/20260614160000_pix_exact_and_manual_overpayment_refunds.sql</x:v>
      </x:c>
      <x:c r="O185" s="34" t="str">
        <x:v>docs/modules/reconciliacao-pix.md</x:v>
      </x:c>
      <x:c r="P185" s="34" t="str">
        <x:v>Runtime</x:v>
      </x:c>
      <x:c r="Q185" s="34" t="str">
        <x:v>Blocked</x:v>
      </x:c>
      <x:c r="R185" s="34" t="str"/>
      <x:c r="S185" s="34" t="str">
        <x:v>Not Needed</x:v>
      </x:c>
      <x:c r="T185" s="34" t="str">
        <x:v>Not Applicable</x:v>
      </x:c>
      <x:c r="U185" s="34" t="str">
        <x:v>Passed</x:v>
      </x:c>
      <x:c r="V185" s="34" t="str">
        <x:v>Service and SQL-contract tests validate unified RPC payload and ledger-backed exact settlement.</x:v>
      </x:c>
      <x:c r="W185" s="34" t="str">
        <x:v>reconciliacao.test.ts; pixExactAndRefundsMigration.test.ts; ledgerPixPayloadMigration.test.ts</x:v>
      </x:c>
    </x:row>
    <x:row r="186" ht="54" customHeight="1">
      <x:c r="A186" s="33" t="str">
        <x:v>US-185</x:v>
      </x:c>
      <x:c r="B186" s="33" t="str">
        <x:v>reconciliacao-pix</x:v>
      </x:c>
      <x:c r="C186" s="33" t="str">
        <x:v>RPC unificada · conciliar item Demurrage</x:v>
      </x:c>
      <x:c r="D186" s="33" t="str">
        <x:v>RPC unificada · conciliar item Demurrage</x:v>
      </x:c>
      <x:c r="E186" s="33" t="str">
        <x:v>Usuário interno</x:v>
      </x:c>
      <x:c r="F186" s="34" t="str">
        <x:v>Como usuário interno, quero rpc unificada · conciliar item demurrage para concluir o objetivo operacional descrito pela interface.</x:v>
      </x:c>
      <x:c r="G186" s="34" t="str">
        <x:v>Ao rpc unificada · conciliar item demurrage, o sistema deve executar Trava e valida cada documento; acumula lote para confirm_demurrage_pix_matches. Persistência esperada: UPDATE demurrage_invoices: paid, paid_at, pix_txid, conciliated_by_extract. Resultado observável: Item {source: demurrage, status: ok}. Em falha: Documento ausente, valor divergente ou contagem atualizada diferente aborta o lote.</x:v>
      </x:c>
      <x:c r="H186" s="34" t="str">
        <x:v>source = demurrage, invoice existente e diferença até 0,01</x:v>
      </x:c>
      <x:c r="I186" s="34" t="str">
        <x:v>Mesma RPC</x:v>
      </x:c>
      <x:c r="J186" s="34" t="str">
        <x:v>Trava e valida cada documento; acumula lote para confirm_demurrage_pix_matches</x:v>
      </x:c>
      <x:c r="K186" s="34" t="str">
        <x:v>UPDATE demurrage_invoices: paid, paid_at, pix_txid, conciliated_by_extract</x:v>
      </x:c>
      <x:c r="L186" s="34" t="str">
        <x:v>Item {source: demurrage, status: ok}</x:v>
      </x:c>
      <x:c r="M186" s="34" t="str">
        <x:v>Documento ausente, valor divergente ou contagem atualizada diferente aborta o lote</x:v>
      </x:c>
      <x:c r="N186" s="34" t="str">
        <x:v>Código: supabase/migrations/20260612161000_confirm_unified_pix_matches.sql, supabase/migrations/20260610094207_confirm_demurrage_pix_matches_batch.sql</x:v>
      </x:c>
      <x:c r="O186" s="34" t="str">
        <x:v>docs/modules/reconciliacao-pix.md</x:v>
      </x:c>
      <x:c r="P186" s="34" t="str">
        <x:v>Runtime</x:v>
      </x:c>
      <x:c r="Q186" s="34" t="str">
        <x:v>Blocked</x:v>
      </x:c>
      <x:c r="R186" s="34" t="str"/>
      <x:c r="S186" s="34" t="str">
        <x:v>Not Needed</x:v>
      </x:c>
      <x:c r="T186" s="34" t="str">
        <x:v>Not Applicable</x:v>
      </x:c>
      <x:c r="U186" s="34" t="str">
        <x:v>Passed</x:v>
      </x:c>
      <x:c r="V186" s="34" t="str">
        <x:v>Service and SQL-contract tests validate one transactional batch and exact Demurrage settlement.</x:v>
      </x:c>
      <x:c r="W186" s="34" t="str">
        <x:v>reconciliacao.test.ts; reversalJustificationMigration.test.ts</x:v>
      </x:c>
    </x:row>
    <x:row r="187" ht="54" customHeight="1">
      <x:c r="A187" s="33" t="str">
        <x:v>US-186</x:v>
      </x:c>
      <x:c r="B187" s="33" t="str">
        <x:v>reconciliacao-pix</x:v>
      </x:c>
      <x:c r="C187" s="33" t="str">
        <x:v>Resultado · exibir retorno por fonte/item</x:v>
      </x:c>
      <x:c r="D187" s="33" t="str">
        <x:v>Resultado · exibir retorno por fonte/item</x:v>
      </x:c>
      <x:c r="E187" s="33" t="str">
        <x:v>Usuário interno</x:v>
      </x:c>
      <x:c r="F187" s="34" t="str">
        <x:v>Como usuário interno, quero resultado · exibir retorno por fonte/item para concluir o objetivo operacional descrito pela interface.</x:v>
      </x:c>
      <x:c r="G187" s="34" t="str">
        <x:v>Ao resultado · exibir retorno por fonte/item, o sistema deve executar Normalização de UnifiedPixConfirmationResult. Persistência esperada: Sem nova persistência. Resultado observável: Mostra contagens e itens; limpa matches. Em falha: Shape sem itens vira array vazio.</x:v>
      </x:c>
      <x:c r="H187" s="34" t="str">
        <x:v>Confirmação concluída</x:v>
      </x:c>
      <x:c r="I187" s="34" t="str">
        <x:v>confirmMutation.onSuccess</x:v>
      </x:c>
      <x:c r="J187" s="34" t="str">
        <x:v>Normalização de UnifiedPixConfirmationResult</x:v>
      </x:c>
      <x:c r="K187" s="34" t="str">
        <x:v>Sem nova persistência</x:v>
      </x:c>
      <x:c r="L187" s="34" t="str">
        <x:v>Mostra contagens e itens; limpa matches</x:v>
      </x:c>
      <x:c r="M187" s="34" t="str">
        <x:v>Shape sem itens vira array vazio</x:v>
      </x:c>
      <x:c r="N187" s="34" t="str">
        <x:v>Código: src/pages/Reconciliacao.tsx, src/services/reconciliacao.ts</x:v>
      </x:c>
      <x:c r="O187" s="34" t="str">
        <x:v>docs/modules/reconciliacao-pix.md</x:v>
      </x:c>
      <x:c r="P187" s="34" t="str">
        <x:v>Runtime</x:v>
      </x:c>
      <x:c r="Q187" s="34" t="str">
        <x:v>Blocked</x:v>
      </x:c>
      <x:c r="R187" s="34" t="str"/>
      <x:c r="S187" s="34" t="str">
        <x:v>Not Needed</x:v>
      </x:c>
      <x:c r="T187" s="34" t="str">
        <x:v>Not Applicable</x:v>
      </x:c>
      <x:c r="U187" s="34" t="str">
        <x:v>Passed</x:v>
      </x:c>
      <x:c r="V187" s="34" t="str">
        <x:v>Page behavior test renders source, document and confirmation status returned by the RPC.</x:v>
      </x:c>
      <x:c r="W187" s="34" t="str">
        <x:v>src/pages/__tests__/Reconciliacao.behavior.test.tsx</x:v>
      </x:c>
    </x:row>
    <x:row r="188" ht="54" customHeight="1">
      <x:c r="A188" s="33" t="str">
        <x:v>US-187</x:v>
      </x:c>
      <x:c r="B188" s="33" t="str">
        <x:v>reconciliacao-pix</x:v>
      </x:c>
      <x:c r="C188" s="33" t="str">
        <x:v>Histórico · listar/filtrar/ordenar/paginar</x:v>
      </x:c>
      <x:c r="D188" s="33" t="str">
        <x:v>Histórico · listar/filtrar/ordenar/paginar</x:v>
      </x:c>
      <x:c r="E188" s="33" t="str">
        <x:v>Usuário interno</x:v>
      </x:c>
      <x:c r="F188" s="34" t="str">
        <x:v>Como usuário interno, quero histórico · listar/filtrar/ordenar/paginar para concluir o objetivo operacional descrito pela interface.</x:v>
      </x:c>
      <x:c r="G188" s="34" t="str">
        <x:v>Ao histórico · listar/filtrar/ordenar/paginar, o sistema deve executar useQuery → listReconciliationHistory. Persistência esperada: Pagina completamente os dois domínios em lotes de 1000; filtros/ordenação/paginação no cliente. Resultado observável: Query ['reconciliation-history', filters], staleTime 15 s; data e paymentId vêm da mesma baixa mais recente. Em falha: Erro de qualquer domínio falha a tabela inteira.</x:v>
      </x:c>
      <x:c r="H188" s="34" t="str">
        <x:v>Sessão interna</x:v>
      </x:c>
      <x:c r="I188" s="34" t="str">
        <x:v>ReconciliationHistoryTable</x:v>
      </x:c>
      <x:c r="J188" s="34" t="str">
        <x:v>useQuery → listReconciliationHistory</x:v>
      </x:c>
      <x:c r="K188" s="34" t="str">
        <x:v>Pagina completamente os dois domínios em lotes de 1000; filtros/ordenação/paginação no cliente</x:v>
      </x:c>
      <x:c r="L188" s="34" t="str">
        <x:v>Query ['reconciliation-history', filters], staleTime 15 s; data e paymentId vêm da mesma baixa mais recente</x:v>
      </x:c>
      <x:c r="M188" s="34" t="str">
        <x:v>Erro de qualquer domínio falha a tabela inteira</x:v>
      </x:c>
      <x:c r="N188" s="34" t="str">
        <x:v>Código: src/components/billing/ReconciliationHistoryTable.tsx, src/services/reconciliacao.ts · Teste: src/services/__tests__/reconciliationHistoryPagination.test.ts, src/services/__tests__/reconciliationInvoiceType.test.ts</x:v>
      </x:c>
      <x:c r="O188" s="34" t="str">
        <x:v>docs/modules/reconciliacao-pix.md</x:v>
      </x:c>
      <x:c r="P188" s="34" t="str">
        <x:v>Automated</x:v>
      </x:c>
      <x:c r="Q188" s="34" t="str">
        <x:v>Failed</x:v>
      </x:c>
      <x:c r="R188" s="34" t="str">
        <x:v>DEF-050</x:v>
      </x:c>
      <x:c r="S188" s="34" t="str">
        <x:v>Fixed</x:v>
      </x:c>
      <x:c r="T188" s="34" t="str">
        <x:v>Passed</x:v>
      </x:c>
      <x:c r="U188" s="34" t="str">
        <x:v>Passed</x:v>
      </x:c>
      <x:c r="V188" s="34" t="str">
        <x:v>Post-fix focused tests passed: DEF-050</x:v>
      </x:c>
      <x:c r="W188" s="34" t="str">
        <x:v>Filtros do historico ignoram pagamentos fora das primeiras 2000 linhas | reconciliationHistoryPagination.test.ts; ReconciliationHistoryTable.behavior.test.tsx</x:v>
      </x:c>
    </x:row>
    <x:row r="189" ht="54" customHeight="1">
      <x:c r="A189" s="33" t="str">
        <x:v>US-188</x:v>
      </x:c>
      <x:c r="B189" s="33" t="str">
        <x:v>reconciliacao-pix</x:v>
      </x:c>
      <x:c r="C189" s="33" t="str">
        <x:v>Histórico · exportar</x:v>
      </x:c>
      <x:c r="D189" s="33" t="str">
        <x:v>Histórico · exportar</x:v>
      </x:c>
      <x:c r="E189" s="33" t="str">
        <x:v>Usuário interno</x:v>
      </x:c>
      <x:c r="F189" s="34" t="str">
        <x:v>Como usuário interno, quero histórico · exportar para concluir o objetivo operacional descrito pela interface.</x:v>
      </x:c>
      <x:c r="G189" s="34" t="str">
        <x:v>Ao histórico · exportar, o sistema deve executar exportReconciliationHistoryExcel consulta com página única ampla e carrega @e965/xlsx. Persistência esperada: Arquivo local conciliacao-&lt;timestamp&gt;.xlsx. Resultado observável: Sem invalidação; neutraliza prefixos de fórmula em strings. Em falha: Falha exibe toast dedicado e encerra o estado de processamento.</x:v>
      </x:c>
      <x:c r="H189" s="34" t="str">
        <x:v>Filtros atuais</x:v>
      </x:c>
      <x:c r="I189" s="34" t="str">
        <x:v>Botão “Exportar Excel”</x:v>
      </x:c>
      <x:c r="J189" s="34" t="str">
        <x:v>exportReconciliationHistoryExcel consulta com página única ampla e carrega @e965/xlsx</x:v>
      </x:c>
      <x:c r="K189" s="34" t="str">
        <x:v>Arquivo local conciliacao-&lt;timestamp&gt;.xlsx</x:v>
      </x:c>
      <x:c r="L189" s="34" t="str">
        <x:v>Sem invalidação; neutraliza prefixos de fórmula em strings</x:v>
      </x:c>
      <x:c r="M189" s="34" t="str">
        <x:v>Falha exibe toast dedicado e encerra o estado de processamento</x:v>
      </x:c>
      <x:c r="N189" s="34" t="str">
        <x:v>Código: src/components/billing/ReconciliationHistoryTable.tsx, src/services/reconciliacao.ts</x:v>
      </x:c>
      <x:c r="O189" s="34" t="str">
        <x:v>docs/modules/reconciliacao-pix.md</x:v>
      </x:c>
      <x:c r="P189" s="34" t="str">
        <x:v>Runtime</x:v>
      </x:c>
      <x:c r="Q189" s="34" t="str">
        <x:v>Failed</x:v>
      </x:c>
      <x:c r="R189" s="34" t="str">
        <x:v>DEF-051</x:v>
      </x:c>
      <x:c r="S189" s="34" t="str">
        <x:v>Fixed</x:v>
      </x:c>
      <x:c r="T189" s="34" t="str">
        <x:v>Passed</x:v>
      </x:c>
      <x:c r="U189" s="34" t="str">
        <x:v>Passed</x:v>
      </x:c>
      <x:c r="V189" s="34" t="str">
        <x:v>Post-fix focused tests passed: DEF-051</x:v>
      </x:c>
      <x:c r="W189" s="34" t="str">
        <x:v>Falha ao exportar historico gera rejeicao sem feedback | ReconciliationHistoryTable.behavior.test.tsx; reconciliacao.test.ts</x:v>
      </x:c>
    </x:row>
    <x:row r="190" ht="54" customHeight="1">
      <x:c r="A190" s="33" t="str">
        <x:v>US-189</x:v>
      </x:c>
      <x:c r="B190" s="33" t="str">
        <x:v>reconciliacao-pix</x:v>
      </x:c>
      <x:c r="C190" s="33" t="str">
        <x:v>Histórico · abrir detalhe local</x:v>
      </x:c>
      <x:c r="D190" s="33" t="str">
        <x:v>Histórico · abrir detalhe local</x:v>
      </x:c>
      <x:c r="E190" s="33" t="str">
        <x:v>Usuário interno</x:v>
      </x:c>
      <x:c r="F190" s="34" t="str">
        <x:v>Como usuário interno, quero histórico · abrir detalhe local para concluir o objetivo operacional descrito pela interface.</x:v>
      </x:c>
      <x:c r="G190" s="34" t="str">
        <x:v>Ao histórico · abrir detalhe local, o sistema deve executar InvoiceDetailModal → useInvoiceDetail/useInvoiceRefunds. Persistência esperada: Leituras do faturamento. Resultado observável: Queries de detalhe/refund. Em falha: paymentId = null permite detalhe, mas não cancelamento da baixa.</x:v>
      </x:c>
      <x:c r="H190" s="34" t="str">
        <x:v>Linha local; invoice/payment IDs disponíveis</x:v>
      </x:c>
      <x:c r="I190" s="34" t="str">
        <x:v>onSelectLocalInvoice</x:v>
      </x:c>
      <x:c r="J190" s="34" t="str">
        <x:v>InvoiceDetailModal → useInvoiceDetail/useInvoiceRefunds</x:v>
      </x:c>
      <x:c r="K190" s="34" t="str">
        <x:v>Leituras do faturamento</x:v>
      </x:c>
      <x:c r="L190" s="34" t="str">
        <x:v>Queries de detalhe/refund</x:v>
      </x:c>
      <x:c r="M190" s="34" t="str">
        <x:v>paymentId = null permite detalhe, mas não cancelamento da baixa</x:v>
      </x:c>
      <x:c r="N190" s="34" t="str">
        <x:v>Código: src/pages/Reconciliacao.tsx, src/components/billing/ReconciliationHistoryTable.tsx</x:v>
      </x:c>
      <x:c r="O190" s="34" t="str">
        <x:v>docs/modules/reconciliacao-pix.md</x:v>
      </x:c>
      <x:c r="P190" s="34" t="str">
        <x:v>Runtime</x:v>
      </x:c>
      <x:c r="Q190" s="34" t="str">
        <x:v>Failed</x:v>
      </x:c>
      <x:c r="R190" s="34" t="str">
        <x:v>DEF-049</x:v>
      </x:c>
      <x:c r="S190" s="34" t="str">
        <x:v>Fixed</x:v>
      </x:c>
      <x:c r="T190" s="34" t="str">
        <x:v>Passed</x:v>
      </x:c>
      <x:c r="U190" s="34" t="str">
        <x:v>Passed</x:v>
      </x:c>
      <x:c r="V190" s="34" t="str">
        <x:v>Post-fix focused tests passed: DEF-049</x:v>
      </x:c>
      <x:c r="W190" s="34" t="str">
        <x:v>Historico pode abrir a baixa errada de uma invoice | ReconciliationHistoryTable.behavior.test.tsx; reconciliationInvoiceType.test.ts</x:v>
      </x:c>
    </x:row>
    <x:row r="191" ht="54" customHeight="1">
      <x:c r="A191" s="33" t="str">
        <x:v>US-190</x:v>
      </x:c>
      <x:c r="B191" s="33" t="str">
        <x:v>reconciliacao-pix</x:v>
      </x:c>
      <x:c r="C191" s="33" t="str">
        <x:v>Histórico · abrir detalhe Demurrage</x:v>
      </x:c>
      <x:c r="D191" s="33" t="str">
        <x:v>Histórico · abrir detalhe Demurrage</x:v>
      </x:c>
      <x:c r="E191" s="33" t="str">
        <x:v>Usuário interno</x:v>
      </x:c>
      <x:c r="F191" s="34" t="str">
        <x:v>Como usuário interno, quero histórico · abrir detalhe demurrage para concluir o objetivo operacional descrito pela interface.</x:v>
      </x:c>
      <x:c r="G191" s="34" t="str">
        <x:v>Ao histórico · abrir detalhe demurrage, o sistema deve executar Query getDemurrageDetail. Persistência esperada: Leitura de invoice e itens de Demurrage. Resultado observável: Query ['demurrage-invoice-detail', 'reconciliacao', id]. Em falha: Erro mostra falha no modal.</x:v>
      </x:c>
      <x:c r="H191" s="34" t="str">
        <x:v>Linha Demurrage</x:v>
      </x:c>
      <x:c r="I191" s="34" t="str">
        <x:v>onSelectDemurrageInvoice</x:v>
      </x:c>
      <x:c r="J191" s="34" t="str">
        <x:v>Query getDemurrageDetail</x:v>
      </x:c>
      <x:c r="K191" s="34" t="str">
        <x:v>Leitura de invoice e itens de Demurrage</x:v>
      </x:c>
      <x:c r="L191" s="34" t="str">
        <x:v>Query ['demurrage-invoice-detail', 'reconciliacao', id]</x:v>
      </x:c>
      <x:c r="M191" s="34" t="str">
        <x:v>Erro mostra falha no modal</x:v>
      </x:c>
      <x:c r="N191" s="34" t="str">
        <x:v>Código: src/pages/Reconciliacao.tsx, src/services/demurrage/demurrageInvoices.ts</x:v>
      </x:c>
      <x:c r="O191" s="34" t="str">
        <x:v>docs/modules/reconciliacao-pix.md</x:v>
      </x:c>
      <x:c r="P191" s="34" t="str">
        <x:v>Runtime</x:v>
      </x:c>
      <x:c r="Q191" s="34" t="str">
        <x:v>Blocked</x:v>
      </x:c>
      <x:c r="R191" s="34" t="str"/>
      <x:c r="S191" s="34" t="str">
        <x:v>Not Needed</x:v>
      </x:c>
      <x:c r="T191" s="34" t="str">
        <x:v>Not Applicable</x:v>
      </x:c>
      <x:c r="U191" s="34" t="str">
        <x:v>Passed</x:v>
      </x:c>
      <x:c r="V191" s="34" t="str">
        <x:v>Page behavior test opens and renders the selected Demurrage receipt detail.</x:v>
      </x:c>
      <x:c r="W191" s="34" t="str">
        <x:v>src/pages/__tests__/Reconciliacao.behavior.test.tsx</x:v>
      </x:c>
    </x:row>
    <x:row r="192" ht="54" customHeight="1">
      <x:c r="A192" s="33" t="str">
        <x:v>US-191</x:v>
      </x:c>
      <x:c r="B192" s="33" t="str">
        <x:v>reconciliacao-pix</x:v>
      </x:c>
      <x:c r="C192" s="33" t="str">
        <x:v>Detalhe local · cancelar baixa</x:v>
      </x:c>
      <x:c r="D192" s="33" t="str">
        <x:v>Detalhe local · cancelar baixa</x:v>
      </x:c>
      <x:c r="E192" s="33" t="str">
        <x:v>Usuário interno</x:v>
      </x:c>
      <x:c r="F192" s="34" t="str">
        <x:v>Como usuário interno, quero detalhe local · cancelar baixa para concluir o objetivo operacional descrito pela interface.</x:v>
      </x:c>
      <x:c r="G192" s="34" t="str">
        <x:v>Ao detalhe local · cancelar baixa, o sistema deve executar reverseLocalPaymentAndInvalidate → reverseLocalInvoicePayment. Persistência esperada: RPC reverse_invoice_payment restaura ledger/links/status, limpa PIX e exclui payments. Resultado observável: Invalida ledger, invoices, B/Ls, cliente, detalhe, refunds, alertas e histórico antes de fechar. Em falha: RPC exige admin/justificativa e rejeita payment/invoice ausente.</x:v>
      </x:c>
      <x:c r="H192" s="34" t="str">
        <x:v>Admin, paymentId e justificativa</x:v>
      </x:c>
      <x:c r="I192" s="34" t="str">
        <x:v>InvoiceDetailModal.handleReversePayment</x:v>
      </x:c>
      <x:c r="J192" s="34" t="str">
        <x:v>reverseLocalPaymentAndInvalidate → reverseLocalInvoicePayment</x:v>
      </x:c>
      <x:c r="K192" s="34" t="str">
        <x:v>RPC reverse_invoice_payment restaura ledger/links/status, limpa PIX e exclui payments</x:v>
      </x:c>
      <x:c r="L192" s="34" t="str">
        <x:v>Invalida ledger, invoices, B/Ls, cliente, detalhe, refunds, alertas e histórico antes de fechar</x:v>
      </x:c>
      <x:c r="M192" s="34" t="str">
        <x:v>RPC exige admin/justificativa e rejeita payment/invoice ausente</x:v>
      </x:c>
      <x:c r="N192" s="34" t="str">
        <x:v>Código: src/components/billing/InvoiceDetailModal.tsx, src/hooks/useBillingLedger.ts, src/services/reconciliacao.ts · Teste: src/hooks/__tests__/billingLedgerInvalidation.test.ts</x:v>
      </x:c>
      <x:c r="O192" s="34" t="str">
        <x:v>docs/modules/reconciliacao-pix.md</x:v>
      </x:c>
      <x:c r="P192" s="34" t="str">
        <x:v>Automated</x:v>
      </x:c>
      <x:c r="Q192" s="34" t="str">
        <x:v>Failed</x:v>
      </x:c>
      <x:c r="R192" s="34" t="str">
        <x:v>DEF-021, DEF-022</x:v>
      </x:c>
      <x:c r="S192" s="34" t="str">
        <x:v>Fixed</x:v>
      </x:c>
      <x:c r="T192" s="34" t="str">
        <x:v>Passed</x:v>
      </x:c>
      <x:c r="U192" s="34" t="str">
        <x:v>Passed</x:v>
      </x:c>
      <x:c r="V192" s="34" t="str">
        <x:v>Post-fix focused tests passed: DEF-021, DEF-022</x:v>
      </x:c>
      <x:c r="W192" s="34" t="str">
        <x:v>Estorno local fecha o detalhe sem atualizar caches financeiros | Estorno de Demurrage mantém flag de conciliação por extrato | billingLedgerInvalidation.test.ts; reversalBlsFinancialStatusMigration.test.ts</x:v>
      </x:c>
    </x:row>
    <x:row r="193" ht="54" customHeight="1">
      <x:c r="A193" s="33" t="str">
        <x:v>US-192</x:v>
      </x:c>
      <x:c r="B193" s="33" t="str">
        <x:v>reconciliacao-pix</x:v>
      </x:c>
      <x:c r="C193" s="33" t="str">
        <x:v>Detalhe Demurrage · cancelar baixa</x:v>
      </x:c>
      <x:c r="D193" s="33" t="str">
        <x:v>Detalhe Demurrage · cancelar baixa</x:v>
      </x:c>
      <x:c r="E193" s="33" t="str">
        <x:v>Usuário interno</x:v>
      </x:c>
      <x:c r="F193" s="34" t="str">
        <x:v>Como usuário interno, quero detalhe demurrage · cancelar baixa para concluir o objetivo operacional descrito pela interface.</x:v>
      </x:c>
      <x:c r="G193" s="34" t="str">
        <x:v>Ao detalhe demurrage · cancelar baixa, o sistema deve executar reverseDemurragePayment. Persistência esperada: RPC reverse_demurrage_payment volta status a issued, limpa data/TXID e audita. Resultado observável: Invalida ['demurrage-invoices'] e ['reconciliation-history']; fecha modal. Em falha: UI e RPC exigem justificativa; estado diferente de paid falha.</x:v>
      </x:c>
      <x:c r="H193" s="34" t="str">
        <x:v>Admin, invoice paga e justificativa</x:v>
      </x:c>
      <x:c r="I193" s="34" t="str">
        <x:v>demurrageReversalMutation</x:v>
      </x:c>
      <x:c r="J193" s="34" t="str">
        <x:v>reverseDemurragePayment</x:v>
      </x:c>
      <x:c r="K193" s="34" t="str">
        <x:v>RPC reverse_demurrage_payment volta status a issued, limpa data/TXID e audita</x:v>
      </x:c>
      <x:c r="L193" s="34" t="str">
        <x:v>Invalida ['demurrage-invoices'] e ['reconciliation-history']; fecha modal</x:v>
      </x:c>
      <x:c r="M193" s="34" t="str">
        <x:v>UI e RPC exigem justificativa; estado diferente de paid falha</x:v>
      </x:c>
      <x:c r="N193" s="34" t="str">
        <x:v>Código: src/pages/Reconciliacao.tsx, src/services/reconciliacao.ts, supabase/migrations/20260614180000_require_justification_on_payment_reversal.sql</x:v>
      </x:c>
      <x:c r="O193" s="34" t="str">
        <x:v>docs/modules/reconciliacao-pix.md</x:v>
      </x:c>
      <x:c r="P193" s="34" t="str">
        <x:v>Runtime</x:v>
      </x:c>
      <x:c r="Q193" s="34" t="str">
        <x:v>Blocked</x:v>
      </x:c>
      <x:c r="R193" s="34" t="str"/>
      <x:c r="S193" s="34" t="str">
        <x:v>Not Needed</x:v>
      </x:c>
      <x:c r="T193" s="34" t="str">
        <x:v>Not Applicable</x:v>
      </x:c>
      <x:c r="U193" s="34" t="str">
        <x:v>Passed</x:v>
      </x:c>
      <x:c r="V193" s="34" t="str">
        <x:v>Page and SQL-contract tests validate admin-only justified reversal, cache refresh and extract-flag cleanup.</x:v>
      </x:c>
      <x:c r="W193" s="34" t="str">
        <x:v>Reconciliacao.behavior.test.tsx; reversalJustificationMigration.test.ts; clear flag migration</x:v>
      </x:c>
    </x:row>
    <x:row r="194" ht="54" customHeight="1">
      <x:c r="A194" s="33" t="str">
        <x:v>US-193</x:v>
      </x:c>
      <x:c r="B194" s="33" t="str">
        <x:v>taxas-locais</x:v>
      </x:c>
      <x:c r="C194" s="33" t="str">
        <x:v>/taxas-locais · filtrar/listar tabelas</x:v>
      </x:c>
      <x:c r="D194" s="33" t="str">
        <x:v>/taxas-locais · filtrar/listar tabelas</x:v>
      </x:c>
      <x:c r="E194" s="33" t="str">
        <x:v>Usuário interno</x:v>
      </x:c>
      <x:c r="F194" s="34" t="str">
        <x:v>Como usuário interno, quero /taxas-locais · filtrar/listar tabelas para concluir o objetivo operacional descrito pela interface.</x:v>
      </x:c>
      <x:c r="G194" s="34" t="str">
        <x:v>Ao /taxas-locais · filtrar/listar tabelas, o sistema deve executar useLocalChargeTables → listLocalChargeTables. Persistência esperada: SELECT charge_tables com charge_table_items. Resultado observável: Query queryKeys.charges.tables(filters); itens são ordenados por sort_order e nome. Em falha: Erro Supabase vira estado de erro da aba.</x:v>
      </x:c>
      <x:c r="H194" s="34" t="str">
        <x:v>Capacidade charge_tables; filtros opcionais</x:v>
      </x:c>
      <x:c r="I194" s="34" t="str">
        <x:v>TaxasLocais → ChargeTablesTab</x:v>
      </x:c>
      <x:c r="J194" s="34" t="str">
        <x:v>useLocalChargeTables → listLocalChargeTables</x:v>
      </x:c>
      <x:c r="K194" s="34" t="str">
        <x:v>SELECT charge_tables com charge_table_items</x:v>
      </x:c>
      <x:c r="L194" s="34" t="str">
        <x:v>Query queryKeys.charges.tables(filters); itens são ordenados por sort_order e nome</x:v>
      </x:c>
      <x:c r="M194" s="34" t="str">
        <x:v>Erro Supabase vira estado de erro da aba</x:v>
      </x:c>
      <x:c r="N194" s="34" t="str">
        <x:v>Código: src/pages/TaxasLocais.tsx, src/components/taxasLocais/ChargeTablesTab.tsx, src/services/charges/chargeTableService.ts</x:v>
      </x:c>
      <x:c r="O194" s="34" t="str">
        <x:v>docs/modules/taxas-locais.md</x:v>
      </x:c>
      <x:c r="P194" s="34" t="str">
        <x:v>Runtime</x:v>
      </x:c>
      <x:c r="Q194" s="34" t="str">
        <x:v>Blocked</x:v>
      </x:c>
      <x:c r="R194" s="34" t="str"/>
      <x:c r="S194" s="34" t="str">
        <x:v>Not Needed</x:v>
      </x:c>
      <x:c r="T194" s="34" t="str">
        <x:v>Not Applicable</x:v>
      </x:c>
      <x:c r="U194" s="34" t="str">
        <x:v>Passed</x:v>
      </x:c>
      <x:c r="V194" s="34" t="str">
        <x:v>Component and service tests validate filtered table loading, summaries, empty/error states and ordered items.</x:v>
      </x:c>
      <x:c r="W194" s="34" t="str">
        <x:v>TaxasLocais.behavior.test.tsx; localCharges.test.ts</x:v>
      </x:c>
    </x:row>
    <x:row r="195" ht="54" customHeight="1">
      <x:c r="A195" s="33" t="str">
        <x:v>US-194</x:v>
      </x:c>
      <x:c r="B195" s="33" t="str">
        <x:v>taxas-locais</x:v>
      </x:c>
      <x:c r="C195" s="33" t="str">
        <x:v>/taxas-locais · criar/editar tabela</x:v>
      </x:c>
      <x:c r="D195" s="33" t="str">
        <x:v>/taxas-locais · criar/editar tabela</x:v>
      </x:c>
      <x:c r="E195" s="33" t="str">
        <x:v>Usuário interno</x:v>
      </x:c>
      <x:c r="F195" s="34" t="str">
        <x:v>Como usuário interno, quero /taxas-locais · criar/editar tabela para concluir o objetivo operacional descrito pela interface.</x:v>
      </x:c>
      <x:c r="G195" s="34" t="str">
        <x:v>Ao /taxas-locais · criar/editar tabela, o sistema deve executar validateTableInput → useSaveChargeTable → saveChargeTable. Persistência esperada: INSERT ou UPDATE charge_tables. Resultado observável: Invalida queryKeys.charges.tables(). Em falha: Toast “Falha ao salvar tabela”; erro de constraint/RLS é propagado.</x:v>
      </x:c>
      <x:c r="H195" s="34" t="str">
        <x:v>Nome, POD e valid_from; vigência final não anterior à inicial</x:v>
      </x:c>
      <x:c r="I195" s="34" t="str">
        <x:v>handleSaveTable</x:v>
      </x:c>
      <x:c r="J195" s="34" t="str">
        <x:v>validateTableInput → useSaveChargeTable → saveChargeTable</x:v>
      </x:c>
      <x:c r="K195" s="34" t="str">
        <x:v>INSERT ou UPDATE charge_tables</x:v>
      </x:c>
      <x:c r="L195" s="34" t="str">
        <x:v>Invalida queryKeys.charges.tables()</x:v>
      </x:c>
      <x:c r="M195" s="34" t="str">
        <x:v>Toast “Falha ao salvar tabela”; erro de constraint/RLS é propagado</x:v>
      </x:c>
      <x:c r="N195" s="34" t="str">
        <x:v>Código: src/components/taxasLocais/ChargeTablesTab.tsx, src/pages/taxasLocaisHelpers.ts, src/hooks/useLocalCharges.ts · Teste: src/pages/__tests__/taxasLocaisHelpers.test.ts</x:v>
      </x:c>
      <x:c r="O195" s="34" t="str">
        <x:v>docs/modules/taxas-locais.md</x:v>
      </x:c>
      <x:c r="P195" s="34" t="str">
        <x:v>Automated</x:v>
      </x:c>
      <x:c r="Q195" s="34" t="str">
        <x:v>Passed</x:v>
      </x:c>
      <x:c r="R195" s="34" t="str"/>
      <x:c r="S195" s="34" t="str">
        <x:v>Not Needed</x:v>
      </x:c>
      <x:c r="T195" s="34" t="str">
        <x:v>Not Applicable</x:v>
      </x:c>
      <x:c r="U195" s="34" t="str">
        <x:v>Passed</x:v>
      </x:c>
      <x:c r="V195" s="34" t="str">
        <x:v>Component behavior and validation tests cover normalized create/edit payloads and invalid validity windows.</x:v>
      </x:c>
      <x:c r="W195" s="34" t="str">
        <x:v>TaxasLocais.behavior.test.tsx; taxasLocaisHelpers.test.ts</x:v>
      </x:c>
    </x:row>
    <x:row r="196" ht="54" customHeight="1">
      <x:c r="A196" s="33" t="str">
        <x:v>US-195</x:v>
      </x:c>
      <x:c r="B196" s="33" t="str">
        <x:v>taxas-locais</x:v>
      </x:c>
      <x:c r="C196" s="33" t="str">
        <x:v>/taxas-locais · ativar/inativar tabela</x:v>
      </x:c>
      <x:c r="D196" s="33" t="str">
        <x:v>/taxas-locais · ativar/inativar tabela</x:v>
      </x:c>
      <x:c r="E196" s="33" t="str">
        <x:v>Usuário interno</x:v>
      </x:c>
      <x:c r="F196" s="34" t="str">
        <x:v>Como usuário interno, quero /taxas-locais · ativar/inativar tabela para concluir o objetivo operacional descrito pela interface.</x:v>
      </x:c>
      <x:c r="G196" s="34" t="str">
        <x:v>Ao /taxas-locais · ativar/inativar tabela, o sistema deve executar useSetChargeTableActive → setChargeTableActive. Persistência esperada: UPDATE charge_tables.active. Resultado observável: Invalida queryKeys.charges.tables(). Em falha: Toast de falha; não recalcula B/Ls já existentes.</x:v>
      </x:c>
      <x:c r="H196" s="34" t="str">
        <x:v>Tabela existente</x:v>
      </x:c>
      <x:c r="I196" s="34" t="str">
        <x:v>handleToggleTableActive</x:v>
      </x:c>
      <x:c r="J196" s="34" t="str">
        <x:v>useSetChargeTableActive → setChargeTableActive</x:v>
      </x:c>
      <x:c r="K196" s="34" t="str">
        <x:v>UPDATE charge_tables.active</x:v>
      </x:c>
      <x:c r="L196" s="34" t="str">
        <x:v>Invalida queryKeys.charges.tables()</x:v>
      </x:c>
      <x:c r="M196" s="34" t="str">
        <x:v>Toast de falha; não recalcula B/Ls já existentes</x:v>
      </x:c>
      <x:c r="N196" s="34" t="str">
        <x:v>Código: src/components/taxasLocais/ChargeTablesTab.tsx, src/services/charges/chargeTableService.ts</x:v>
      </x:c>
      <x:c r="O196" s="34" t="str">
        <x:v>docs/modules/taxas-locais.md</x:v>
      </x:c>
      <x:c r="P196" s="34" t="str">
        <x:v>Runtime</x:v>
      </x:c>
      <x:c r="Q196" s="34" t="str">
        <x:v>Blocked</x:v>
      </x:c>
      <x:c r="R196" s="34" t="str"/>
      <x:c r="S196" s="34" t="str">
        <x:v>Not Needed</x:v>
      </x:c>
      <x:c r="T196" s="34" t="str">
        <x:v>Not Applicable</x:v>
      </x:c>
      <x:c r="U196" s="34" t="str">
        <x:v>Passed</x:v>
      </x:c>
      <x:c r="V196" s="34" t="str">
        <x:v>Component behavior test persists the inverse active state for the selected table.</x:v>
      </x:c>
      <x:c r="W196" s="34" t="str">
        <x:v>src/components/taxasLocais/__tests__/TaxasLocais.behavior.test.tsx</x:v>
      </x:c>
    </x:row>
    <x:row r="197" ht="54" customHeight="1">
      <x:c r="A197" s="33" t="str">
        <x:v>US-196</x:v>
      </x:c>
      <x:c r="B197" s="33" t="str">
        <x:v>taxas-locais</x:v>
      </x:c>
      <x:c r="C197" s="33" t="str">
        <x:v>/taxas-locais · adicionar/editar item</x:v>
      </x:c>
      <x:c r="D197" s="33" t="str">
        <x:v>/taxas-locais · adicionar/editar item</x:v>
      </x:c>
      <x:c r="E197" s="33" t="str">
        <x:v>Usuário interno</x:v>
      </x:c>
      <x:c r="F197" s="34" t="str">
        <x:v>Como usuário interno, quero /taxas-locais · adicionar/editar item para concluir o objetivo operacional descrito pela interface.</x:v>
      </x:c>
      <x:c r="G197" s="34" t="str">
        <x:v>Ao /taxas-locais · adicionar/editar item, o sistema deve executar validateTableItemInput → useSaveChargeTableItem → saveChargeTableItem. Persistência esperada: INSERT ou UPDATE charge_table_items. Resultado observável: Invalida charges.tables(), bls.manualChargeItems('') e charges.overrideItems(). Em falha: Toast de falha; constraints de moeda/base/perfil podem rejeitar.</x:v>
      </x:c>
      <x:c r="H197" s="34" t="str">
        <x:v>Tabela, nome, valor não negativo e sort_order inteiro não negativo</x:v>
      </x:c>
      <x:c r="I197" s="34" t="str">
        <x:v>handleSaveTableItem</x:v>
      </x:c>
      <x:c r="J197" s="34" t="str">
        <x:v>validateTableItemInput → useSaveChargeTableItem → saveChargeTableItem</x:v>
      </x:c>
      <x:c r="K197" s="34" t="str">
        <x:v>INSERT ou UPDATE charge_table_items</x:v>
      </x:c>
      <x:c r="L197" s="34" t="str">
        <x:v>Invalida charges.tables(), bls.manualChargeItems('') e charges.overrideItems()</x:v>
      </x:c>
      <x:c r="M197" s="34" t="str">
        <x:v>Toast de falha; constraints de moeda/base/perfil podem rejeitar</x:v>
      </x:c>
      <x:c r="N197" s="34" t="str">
        <x:v>Código: src/components/taxasLocais/ChargeTablesTab.tsx, src/services/charges/chargeTableService.ts · Teste: src/pages/__tests__/taxasLocaisHelpers.test.ts</x:v>
      </x:c>
      <x:c r="O197" s="34" t="str">
        <x:v>docs/modules/taxas-locais.md</x:v>
      </x:c>
      <x:c r="P197" s="34" t="str">
        <x:v>Automated</x:v>
      </x:c>
      <x:c r="Q197" s="34" t="str">
        <x:v>Passed</x:v>
      </x:c>
      <x:c r="R197" s="34" t="str"/>
      <x:c r="S197" s="34" t="str">
        <x:v>Not Needed</x:v>
      </x:c>
      <x:c r="T197" s="34" t="str">
        <x:v>Not Applicable</x:v>
      </x:c>
      <x:c r="U197" s="34" t="str">
        <x:v>Passed</x:v>
      </x:c>
      <x:c r="V197" s="34" t="str">
        <x:v>Component, validation and service tests cover item editing, normalized values and cache contracts.</x:v>
      </x:c>
      <x:c r="W197" s="34" t="str">
        <x:v>TaxasLocais.behavior.test.tsx; taxasLocaisHelpers.test.ts; queryKeysPrefix.test.ts</x:v>
      </x:c>
    </x:row>
    <x:row r="198" ht="54" customHeight="1">
      <x:c r="A198" s="33" t="str">
        <x:v>US-197</x:v>
      </x:c>
      <x:c r="B198" s="33" t="str">
        <x:v>taxas-locais</x:v>
      </x:c>
      <x:c r="C198" s="33" t="str">
        <x:v>/taxas-locais · excluir item</x:v>
      </x:c>
      <x:c r="D198" s="33" t="str">
        <x:v>/taxas-locais · excluir item</x:v>
      </x:c>
      <x:c r="E198" s="33" t="str">
        <x:v>Usuário interno</x:v>
      </x:c>
      <x:c r="F198" s="34" t="str">
        <x:v>Como usuário interno, quero /taxas-locais · excluir item para concluir o objetivo operacional descrito pela interface.</x:v>
      </x:c>
      <x:c r="G198" s="34" t="str">
        <x:v>Ao /taxas-locais · excluir item, o sistema deve executar useDeleteChargeTableItem → deleteChargeTableItem. Persistência esperada: DELETE charge_table_items. Resultado observável: Mesmas invalidações do save de item. Em falha: Mensagem informa possível vínculo com cálculos.</x:v>
      </x:c>
      <x:c r="H198" s="34" t="str">
        <x:v>Confirmação; item sem bloqueio referencial</x:v>
      </x:c>
      <x:c r="I198" s="34" t="str">
        <x:v>handleDeleteTableItem</x:v>
      </x:c>
      <x:c r="J198" s="34" t="str">
        <x:v>useDeleteChargeTableItem → deleteChargeTableItem</x:v>
      </x:c>
      <x:c r="K198" s="34" t="str">
        <x:v>DELETE charge_table_items</x:v>
      </x:c>
      <x:c r="L198" s="34" t="str">
        <x:v>Mesmas invalidações do save de item</x:v>
      </x:c>
      <x:c r="M198" s="34" t="str">
        <x:v>Mensagem informa possível vínculo com cálculos</x:v>
      </x:c>
      <x:c r="N198" s="34" t="str">
        <x:v>Código: src/components/taxasLocais/ChargeTablesTab.tsx, src/hooks/useLocalCharges.ts</x:v>
      </x:c>
      <x:c r="O198" s="34" t="str">
        <x:v>docs/modules/taxas-locais.md</x:v>
      </x:c>
      <x:c r="P198" s="34" t="str">
        <x:v>Runtime</x:v>
      </x:c>
      <x:c r="Q198" s="34" t="str">
        <x:v>Blocked</x:v>
      </x:c>
      <x:c r="R198" s="34" t="str"/>
      <x:c r="S198" s="34" t="str">
        <x:v>Not Needed</x:v>
      </x:c>
      <x:c r="T198" s="34" t="str">
        <x:v>Not Applicable</x:v>
      </x:c>
      <x:c r="U198" s="34" t="str">
        <x:v>Passed</x:v>
      </x:c>
      <x:c r="V198" s="34" t="str">
        <x:v>Component behavior test requires confirmation before deleting a charge-table item.</x:v>
      </x:c>
      <x:c r="W198" s="34" t="str">
        <x:v>src/components/taxasLocais/__tests__/TaxasLocais.behavior.test.tsx</x:v>
      </x:c>
    </x:row>
    <x:row r="199" ht="54" customHeight="1">
      <x:c r="A199" s="33" t="str">
        <x:v>US-198</x:v>
      </x:c>
      <x:c r="B199" s="33" t="str">
        <x:v>taxas-locais</x:v>
      </x:c>
      <x:c r="C199" s="33" t="str">
        <x:v>/taxas-locais · filtrar/listar overrides</x:v>
      </x:c>
      <x:c r="D199" s="33" t="str">
        <x:v>/taxas-locais · filtrar/listar overrides</x:v>
      </x:c>
      <x:c r="E199" s="33" t="str">
        <x:v>Usuário interno</x:v>
      </x:c>
      <x:c r="F199" s="34" t="str">
        <x:v>Como usuário interno, quero /taxas-locais · filtrar/listar overrides para concluir o objetivo operacional descrito pela interface.</x:v>
      </x:c>
      <x:c r="G199" s="34" t="str">
        <x:v>Ao /taxas-locais · filtrar/listar overrides, o sistema deve executar useCustomerRateOverrides → listCustomerRateOverrides. Persistência esperada: SELECT customer_rate_overrides com customers, itens e tabelas. Resultado observável: Query queryKeys.charges.overrides(filters); filtros de cliente/modo/POD são aplicados no cliente após a leitura limitada. Em falha: Erro Supabase vira erro da lista.</x:v>
      </x:c>
      <x:c r="H199" s="34" t="str">
        <x:v>Capacidade charge_overrides; limite entre 20 e 500</x:v>
      </x:c>
      <x:c r="I199" s="34" t="str">
        <x:v>ChargeOverridesTab</x:v>
      </x:c>
      <x:c r="J199" s="34" t="str">
        <x:v>useCustomerRateOverrides → listCustomerRateOverrides</x:v>
      </x:c>
      <x:c r="K199" s="34" t="str">
        <x:v>SELECT customer_rate_overrides com customers, itens e tabelas</x:v>
      </x:c>
      <x:c r="L199" s="34" t="str">
        <x:v>Query queryKeys.charges.overrides(filters); filtros de cliente/modo/POD são aplicados no cliente após a leitura limitada</x:v>
      </x:c>
      <x:c r="M199" s="34" t="str">
        <x:v>Erro Supabase vira erro da lista</x:v>
      </x:c>
      <x:c r="N199" s="34" t="str">
        <x:v>Código: src/components/taxasLocais/ChargeOverridesTab.tsx, src/services/charges/chargeRateService.ts</x:v>
      </x:c>
      <x:c r="O199" s="34" t="str">
        <x:v>docs/modules/taxas-locais.md</x:v>
      </x:c>
      <x:c r="P199" s="34" t="str">
        <x:v>Runtime</x:v>
      </x:c>
      <x:c r="Q199" s="34" t="str">
        <x:v>Failed</x:v>
      </x:c>
      <x:c r="R199" s="34" t="str">
        <x:v>DEF-030, DEF-048</x:v>
      </x:c>
      <x:c r="S199" s="34" t="str">
        <x:v>Fixed</x:v>
      </x:c>
      <x:c r="T199" s="34" t="str">
        <x:v>Passed</x:v>
      </x:c>
      <x:c r="U199" s="34" t="str">
        <x:v>Passed</x:v>
      </x:c>
      <x:c r="V199" s="34" t="str">
        <x:v>Post-fix focused tests passed: DEF-030, DEF-048</x:v>
      </x:c>
      <x:c r="W199" s="34" t="str">
        <x:v>Filtros de overrides são aplicados somente após um lote limitado | Usuário com acesso somente a overrides abre Taxas Locais sem conteúdo | TaxasLocais.test.ts; chargeRateService.test.ts</x:v>
      </x:c>
    </x:row>
    <x:row r="200" ht="54" customHeight="1">
      <x:c r="A200" s="33" t="str">
        <x:v>US-199</x:v>
      </x:c>
      <x:c r="B200" s="33" t="str">
        <x:v>taxas-locais</x:v>
      </x:c>
      <x:c r="C200" s="33" t="str">
        <x:v>/taxas-locais · buscar cliente/item de override</x:v>
      </x:c>
      <x:c r="D200" s="33" t="str">
        <x:v>/taxas-locais · buscar cliente/item de override</x:v>
      </x:c>
      <x:c r="E200" s="33" t="str">
        <x:v>Usuário interno</x:v>
      </x:c>
      <x:c r="F200" s="34" t="str">
        <x:v>Como usuário interno, quero /taxas-locais · buscar cliente/item de override para concluir o objetivo operacional descrito pela interface.</x:v>
      </x:c>
      <x:c r="G200" s="34" t="str">
        <x:v>Ao /taxas-locais · buscar cliente/item de override, o sistema deve executar useOverrideCustomers / useOverrideChargeItems. Persistência esperada: SELECT customers; SELECT charge_table_items + charge_tables. Resultado observável: Queries charges.overrideCustomers(search) e charges.overrideItems(). Em falha: Erro da query impede opções; a tela não cria opção livre.</x:v>
      </x:c>
      <x:c r="H200" s="34" t="str">
        <x:v>Busca de cliente vazia ou com pelo menos dois caracteres para filtro remoto; itens ativos e não manuais</x:v>
      </x:c>
      <x:c r="I200" s="34" t="str">
        <x:v>Selects do formulário</x:v>
      </x:c>
      <x:c r="J200" s="34" t="str">
        <x:v>useOverrideCustomers / useOverrideChargeItems</x:v>
      </x:c>
      <x:c r="K200" s="34" t="str">
        <x:v>SELECT customers; SELECT charge_table_items + charge_tables</x:v>
      </x:c>
      <x:c r="L200" s="34" t="str">
        <x:v>Queries charges.overrideCustomers(search) e charges.overrideItems()</x:v>
      </x:c>
      <x:c r="M200" s="34" t="str">
        <x:v>Erro da query impede opções; a tela não cria opção livre</x:v>
      </x:c>
      <x:c r="N200" s="34" t="str">
        <x:v>Código: src/components/taxasLocais/ChargeOverridesTab.tsx, src/services/charges/chargeRateService.ts</x:v>
      </x:c>
      <x:c r="O200" s="34" t="str">
        <x:v>docs/modules/taxas-locais.md</x:v>
      </x:c>
      <x:c r="P200" s="34" t="str">
        <x:v>Runtime</x:v>
      </x:c>
      <x:c r="Q200" s="34" t="str">
        <x:v>Blocked</x:v>
      </x:c>
      <x:c r="R200" s="34" t="str"/>
      <x:c r="S200" s="34" t="str">
        <x:v>Not Needed</x:v>
      </x:c>
      <x:c r="T200" s="34" t="str">
        <x:v>Not Applicable</x:v>
      </x:c>
      <x:c r="U200" s="34" t="str">
        <x:v>Passed</x:v>
      </x:c>
      <x:c r="V200" s="34" t="str">
        <x:v>Component behavior test loads eligible customer and charge-item options into controlled selectors.</x:v>
      </x:c>
      <x:c r="W200" s="34" t="str">
        <x:v>src/components/taxasLocais/__tests__/TaxasLocais.behavior.test.tsx</x:v>
      </x:c>
    </x:row>
    <x:row r="201" ht="54" customHeight="1">
      <x:c r="A201" s="33" t="str">
        <x:v>US-200</x:v>
      </x:c>
      <x:c r="B201" s="33" t="str">
        <x:v>taxas-locais</x:v>
      </x:c>
      <x:c r="C201" s="33" t="str">
        <x:v>/taxas-locais · criar/editar override</x:v>
      </x:c>
      <x:c r="D201" s="33" t="str">
        <x:v>/taxas-locais · criar/editar override</x:v>
      </x:c>
      <x:c r="E201" s="33" t="str">
        <x:v>Usuário interno</x:v>
      </x:c>
      <x:c r="F201" s="34" t="str">
        <x:v>Como usuário interno, quero /taxas-locais · criar/editar override para concluir o objetivo operacional descrito pela interface.</x:v>
      </x:c>
      <x:c r="G201" s="34" t="str">
        <x:v>Ao /taxas-locais · criar/editar override, o sistema deve executar validateOverrideInput → useSaveCustomerRateOverride → saveCustomerRateOverride. Persistência esperada: INSERT ou UPDATE customer_rate_overrides. Resultado observável: Invalida charges.overrides() e bls.localChargeLines(''). Em falha: Toast de falha; erro de validação é exibido antes da chamada.</x:v>
      </x:c>
      <x:c r="H201" s="34" t="str">
        <x:v>Cliente e item válidos; valor maior que zero; vigência coerente</x:v>
      </x:c>
      <x:c r="I201" s="34" t="str">
        <x:v>handleSaveOverride</x:v>
      </x:c>
      <x:c r="J201" s="34" t="str">
        <x:v>validateOverrideInput → useSaveCustomerRateOverride → saveCustomerRateOverride</x:v>
      </x:c>
      <x:c r="K201" s="34" t="str">
        <x:v>INSERT ou UPDATE customer_rate_overrides</x:v>
      </x:c>
      <x:c r="L201" s="34" t="str">
        <x:v>Invalida charges.overrides() e bls.localChargeLines('')</x:v>
      </x:c>
      <x:c r="M201" s="34" t="str">
        <x:v>Toast de falha; erro de validação é exibido antes da chamada</x:v>
      </x:c>
      <x:c r="N201" s="34" t="str">
        <x:v>Código: src/components/taxasLocais/ChargeOverridesTab.tsx, src/pages/taxasLocaisHelpers.ts · Teste: src/pages/__tests__/taxasLocaisHelpers.test.ts</x:v>
      </x:c>
      <x:c r="O201" s="34" t="str">
        <x:v>docs/modules/taxas-locais.md</x:v>
      </x:c>
      <x:c r="P201" s="34" t="str">
        <x:v>Automated</x:v>
      </x:c>
      <x:c r="Q201" s="34" t="str">
        <x:v>Passed</x:v>
      </x:c>
      <x:c r="R201" s="34" t="str"/>
      <x:c r="S201" s="34" t="str">
        <x:v>Not Needed</x:v>
      </x:c>
      <x:c r="T201" s="34" t="str">
        <x:v>Not Applicable</x:v>
      </x:c>
      <x:c r="U201" s="34" t="str">
        <x:v>Passed</x:v>
      </x:c>
      <x:c r="V201" s="34" t="str">
        <x:v>Component and validation tests cover normalized create/edit payloads, dates and positive values.</x:v>
      </x:c>
      <x:c r="W201" s="34" t="str">
        <x:v>TaxasLocais.behavior.test.tsx; taxasLocaisHelpers.test.ts</x:v>
      </x:c>
    </x:row>
    <x:row r="202" ht="54" customHeight="1">
      <x:c r="A202" s="33" t="str">
        <x:v>US-201</x:v>
      </x:c>
      <x:c r="B202" s="33" t="str">
        <x:v>taxas-locais</x:v>
      </x:c>
      <x:c r="C202" s="33" t="str">
        <x:v>/taxas-locais · excluir override</x:v>
      </x:c>
      <x:c r="D202" s="33" t="str">
        <x:v>/taxas-locais · excluir override</x:v>
      </x:c>
      <x:c r="E202" s="33" t="str">
        <x:v>Usuário interno</x:v>
      </x:c>
      <x:c r="F202" s="34" t="str">
        <x:v>Como usuário interno, quero /taxas-locais · excluir override para concluir o objetivo operacional descrito pela interface.</x:v>
      </x:c>
      <x:c r="G202" s="34" t="str">
        <x:v>Ao /taxas-locais · excluir override, o sistema deve executar useDeleteCustomerRateOverride → deleteCustomerRateOverride. Persistência esperada: DELETE customer_rate_overrides. Resultado observável: Mesmas invalidações do save de override. Em falha: Toast de falha.</x:v>
      </x:c>
      <x:c r="H202" s="34" t="str">
        <x:v>Confirmação</x:v>
      </x:c>
      <x:c r="I202" s="34" t="str">
        <x:v>handleDeleteOverride</x:v>
      </x:c>
      <x:c r="J202" s="34" t="str">
        <x:v>useDeleteCustomerRateOverride → deleteCustomerRateOverride</x:v>
      </x:c>
      <x:c r="K202" s="34" t="str">
        <x:v>DELETE customer_rate_overrides</x:v>
      </x:c>
      <x:c r="L202" s="34" t="str">
        <x:v>Mesmas invalidações do save de override</x:v>
      </x:c>
      <x:c r="M202" s="34" t="str">
        <x:v>Toast de falha</x:v>
      </x:c>
      <x:c r="N202" s="34" t="str">
        <x:v>Código: src/components/taxasLocais/ChargeOverridesTab.tsx, src/hooks/useLocalCharges.ts</x:v>
      </x:c>
      <x:c r="O202" s="34" t="str">
        <x:v>docs/modules/taxas-locais.md</x:v>
      </x:c>
      <x:c r="P202" s="34" t="str">
        <x:v>Runtime</x:v>
      </x:c>
      <x:c r="Q202" s="34" t="str">
        <x:v>Blocked</x:v>
      </x:c>
      <x:c r="R202" s="34" t="str"/>
      <x:c r="S202" s="34" t="str">
        <x:v>Not Needed</x:v>
      </x:c>
      <x:c r="T202" s="34" t="str">
        <x:v>Not Applicable</x:v>
      </x:c>
      <x:c r="U202" s="34" t="str">
        <x:v>Passed</x:v>
      </x:c>
      <x:c r="V202" s="34" t="str">
        <x:v>Component behavior test requires confirmation and deletes the selected override.</x:v>
      </x:c>
      <x:c r="W202" s="34" t="str">
        <x:v>src/components/taxasLocais/__tests__/TaxasLocais.behavior.test.tsx</x:v>
      </x:c>
    </x:row>
    <x:row r="203" ht="54" customHeight="1">
      <x:c r="A203" s="33" t="str">
        <x:v>US-202</x:v>
      </x:c>
      <x:c r="B203" s="33" t="str">
        <x:v>taxas-locais</x:v>
      </x:c>
      <x:c r="C203" s="33" t="str">
        <x:v>B/L/revisão · calcular ou recalcular um B/L</x:v>
      </x:c>
      <x:c r="D203" s="33" t="str">
        <x:v>B/L/revisão · calcular ou recalcular um B/L</x:v>
      </x:c>
      <x:c r="E203" s="33" t="str">
        <x:v>Usuário interno</x:v>
      </x:c>
      <x:c r="F203" s="34" t="str">
        <x:v>Como usuário interno, quero b/l/revisão · calcular ou recalcular um b/l para concluir o objetivo operacional descrito pela interface.</x:v>
      </x:c>
      <x:c r="G203" s="34" t="str">
        <x:v>Ao b/l/revisão · calcular ou recalcular um b/l, o sistema deve executar useCalculateBlLocalCharges ou chamada direta → calculateBlLocalCharges. Persistência esperada: RPC calculate_bl_local_charges → charge_calculations, estado e auditoria do B/L. Resultado observável: Invalida linhas do B/L, detalhe, lista de B/Ls, charges.operations()/pendencies() e viagens. Em falha: RPC propaga ausência de tabela, dados inválidos e demais regras; UI mostra toast.</x:v>
      </x:c>
      <x:c r="H203" s="34" t="str">
        <x:v>B/L existente; usuário ativo; recalculate define limpeza/reuso</x:v>
      </x:c>
      <x:c r="I203" s="34" t="str">
        <x:v>BlCobrancasTab, Revisao, reviewBillingAutomation</x:v>
      </x:c>
      <x:c r="J203" s="34" t="str">
        <x:v>useCalculateBlLocalCharges ou chamada direta → calculateBlLocalCharges</x:v>
      </x:c>
      <x:c r="K203" s="34" t="str">
        <x:v>RPC calculate_bl_local_charges → charge_calculations, estado e auditoria do B/L</x:v>
      </x:c>
      <x:c r="L203" s="34" t="str">
        <x:v>Invalida linhas do B/L, detalhe, lista de B/Ls, charges.operations()/pendencies() e viagens</x:v>
      </x:c>
      <x:c r="M203" s="34" t="str">
        <x:v>RPC propaga ausência de tabela, dados inválidos e demais regras; UI mostra toast</x:v>
      </x:c>
      <x:c r="N203" s="34" t="str">
        <x:v>Código: src/components/bl/BlCobrancasTab.tsx, src/pages/Revisao.tsx, src/services/reviewBillingAutomation.ts, src/services/charges/chargeOperationsService.ts · Teste: src/services/__tests__/localCharges.test.ts</x:v>
      </x:c>
      <x:c r="O203" s="34" t="str">
        <x:v>docs/modules/taxas-locais.md</x:v>
      </x:c>
      <x:c r="P203" s="34" t="str">
        <x:v>Automated</x:v>
      </x:c>
      <x:c r="Q203" s="34" t="str">
        <x:v>Passed</x:v>
      </x:c>
      <x:c r="R203" s="34" t="str"/>
      <x:c r="S203" s="34" t="str">
        <x:v>Not Needed</x:v>
      </x:c>
      <x:c r="T203" s="34" t="str">
        <x:v>Not Applicable</x:v>
      </x:c>
      <x:c r="U203" s="34" t="str">
        <x:v>Passed</x:v>
      </x:c>
      <x:c r="V203" s="34" t="str">
        <x:v>Service tests validate the calculation RPC payload and normalized result.</x:v>
      </x:c>
      <x:c r="W203" s="34" t="str">
        <x:v>src/services/__tests__/localCharges.test.ts</x:v>
      </x:c>
    </x:row>
    <x:row r="204" ht="54" customHeight="1">
      <x:c r="A204" s="33" t="str">
        <x:v>US-203</x:v>
      </x:c>
      <x:c r="B204" s="33" t="str">
        <x:v>taxas-locais</x:v>
      </x:c>
      <x:c r="C204" s="33" t="str">
        <x:v>/faturamento · calcular/recalcular selecionados</x:v>
      </x:c>
      <x:c r="D204" s="33" t="str">
        <x:v>/faturamento · calcular/recalcular selecionados</x:v>
      </x:c>
      <x:c r="E204" s="33" t="str">
        <x:v>Usuário interno</x:v>
      </x:c>
      <x:c r="F204" s="34" t="str">
        <x:v>Como usuário interno, quero /faturamento · calcular/recalcular selecionados para concluir o objetivo operacional descrito pela interface.</x:v>
      </x:c>
      <x:c r="G204" s="34" t="str">
        <x:v>Ao /faturamento · calcular/recalcular selecionados, o sistema deve executar useBatchCalculateLocalCharges → calculateLocalChargesBatch; Granito chama calculateGraniteBlCharges. Persistência esperada: Uma RPC calculate_bl_local_charges por B/L local; persistência própria para Granito. Resultado observável: Invalida charges.operations()/pendencies(), B/Ls, bls.detail('') e viagens; a aba também invalida invoices e resumo de B/Ls. Em falha: Lote continua após erro e retorna contagem/primeiro erro.</x:v>
      </x:c>
      <x:c r="H204" s="34" t="str">
        <x:v>Seleção não vazia; IDs locais separados de Granito</x:v>
      </x:c>
      <x:c r="I204" s="34" t="str">
        <x:v>ValidacaoTab.runBatchOperation; PendenciasFaturamentoTab</x:v>
      </x:c>
      <x:c r="J204" s="34" t="str">
        <x:v>useBatchCalculateLocalCharges → calculateLocalChargesBatch; Granito chama calculateGraniteBlCharges</x:v>
      </x:c>
      <x:c r="K204" s="34" t="str">
        <x:v>Uma RPC calculate_bl_local_charges por B/L local; persistência própria para Granito</x:v>
      </x:c>
      <x:c r="L204" s="34" t="str">
        <x:v>Invalida charges.operations()/pendencies(), B/Ls, bls.detail('') e viagens; a aba também invalida invoices e resumo de B/Ls</x:v>
      </x:c>
      <x:c r="M204" s="34" t="str">
        <x:v>Lote continua após erro e retorna contagem/primeiro erro</x:v>
      </x:c>
      <x:c r="N204" s="34" t="str">
        <x:v>Código: src/components/billing/ValidacaoTab.tsx, src/components/billing/PendenciasFaturamentoTab.tsx, src/hooks/useLocalCharges.ts</x:v>
      </x:c>
      <x:c r="O204" s="34" t="str">
        <x:v>docs/modules/taxas-locais.md</x:v>
      </x:c>
      <x:c r="P204" s="34" t="str">
        <x:v>Runtime</x:v>
      </x:c>
      <x:c r="Q204" s="34" t="str">
        <x:v>Blocked</x:v>
      </x:c>
      <x:c r="R204" s="34" t="str"/>
      <x:c r="S204" s="34" t="str">
        <x:v>Not Needed</x:v>
      </x:c>
      <x:c r="T204" s="34" t="str">
        <x:v>Not Applicable</x:v>
      </x:c>
      <x:c r="U204" s="34" t="str">
        <x:v>Passed</x:v>
      </x:c>
      <x:c r="V204" s="34" t="str">
        <x:v>Batch tests validate deduplication, continued execution and per-B/L error aggregation.</x:v>
      </x:c>
      <x:c r="W204" s="34" t="str">
        <x:v>src/services/__tests__/localCharges.test.ts</x:v>
      </x:c>
    </x:row>
    <x:row r="205" ht="54" customHeight="1">
      <x:c r="A205" s="33" t="str">
        <x:v>US-204</x:v>
      </x:c>
      <x:c r="B205" s="33" t="str">
        <x:v>taxas-locais</x:v>
      </x:c>
      <x:c r="C205" s="33" t="str">
        <x:v>B/L · adicionar cobrança manual</x:v>
      </x:c>
      <x:c r="D205" s="33" t="str">
        <x:v>B/L · adicionar cobrança manual</x:v>
      </x:c>
      <x:c r="E205" s="33" t="str">
        <x:v>Usuário interno</x:v>
      </x:c>
      <x:c r="F205" s="34" t="str">
        <x:v>Como usuário interno, quero b/l · adicionar cobrança manual para concluir o objetivo operacional descrito pela interface.</x:v>
      </x:c>
      <x:c r="G205" s="34" t="str">
        <x:v>Ao b/l · adicionar cobrança manual, o sistema deve executar useAddManualBlCharge → addManualBlCharge. Persistência esperada: RPC add_manual_bl_charge → charge_calculations e auditoria. Resultado observável: Invalida linhas/detalhe/lista do B/L, pendências e viagens. Em falha: RPC/validação bloqueia item ou estado inválido.</x:v>
      </x:c>
      <x:c r="H205" s="34" t="str">
        <x:v>Item elegível, quantidade válida e B/L não faturado conforme RPC</x:v>
      </x:c>
      <x:c r="I205" s="34" t="str">
        <x:v>BlCobrancasTab → ManualChargeFormFields</x:v>
      </x:c>
      <x:c r="J205" s="34" t="str">
        <x:v>useAddManualBlCharge → addManualBlCharge</x:v>
      </x:c>
      <x:c r="K205" s="34" t="str">
        <x:v>RPC add_manual_bl_charge → charge_calculations e auditoria</x:v>
      </x:c>
      <x:c r="L205" s="34" t="str">
        <x:v>Invalida linhas/detalhe/lista do B/L, pendências e viagens</x:v>
      </x:c>
      <x:c r="M205" s="34" t="str">
        <x:v>RPC/validação bloqueia item ou estado inválido</x:v>
      </x:c>
      <x:c r="N205" s="34" t="str">
        <x:v>Código: src/components/bl/BlCobrancasTab.tsx, src/services/charges/chargeOperationsService.ts · Teste: src/services/__tests__/localCharges.test.ts, src/components/billing/__tests__/ManualChargeFormFields.test.tsx</x:v>
      </x:c>
      <x:c r="O205" s="34" t="str">
        <x:v>docs/modules/taxas-locais.md</x:v>
      </x:c>
      <x:c r="P205" s="34" t="str">
        <x:v>Automated</x:v>
      </x:c>
      <x:c r="Q205" s="34" t="str">
        <x:v>Passed</x:v>
      </x:c>
      <x:c r="R205" s="34" t="str"/>
      <x:c r="S205" s="34" t="str">
        <x:v>Not Needed</x:v>
      </x:c>
      <x:c r="T205" s="34" t="str">
        <x:v>Not Applicable</x:v>
      </x:c>
      <x:c r="U205" s="34" t="str">
        <x:v>Passed</x:v>
      </x:c>
      <x:c r="V205" s="34" t="str">
        <x:v>Component, service and SQL-guard tests validate manual-charge payload and persistence contract.</x:v>
      </x:c>
      <x:c r="W205" s="34" t="str">
        <x:v>ManualChargeFormFields.test.tsx; localCharges.test.ts; guardManualChargesMigration.test.ts</x:v>
      </x:c>
    </x:row>
    <x:row r="206" ht="54" customHeight="1">
      <x:c r="A206" s="33" t="str">
        <x:v>US-205</x:v>
      </x:c>
      <x:c r="B206" s="33" t="str">
        <x:v>taxas-locais</x:v>
      </x:c>
      <x:c r="C206" s="33" t="str">
        <x:v>B/L · editar cobrança manual</x:v>
      </x:c>
      <x:c r="D206" s="33" t="str">
        <x:v>B/L · editar cobrança manual</x:v>
      </x:c>
      <x:c r="E206" s="33" t="str">
        <x:v>Usuário interno</x:v>
      </x:c>
      <x:c r="F206" s="34" t="str">
        <x:v>Como usuário interno, quero b/l · editar cobrança manual para concluir o objetivo operacional descrito pela interface.</x:v>
      </x:c>
      <x:c r="G206" s="34" t="str">
        <x:v>Ao b/l · editar cobrança manual, o sistema deve executar useUpdateManualBlCharge → updateManualBlCharge. Persistência esperada: RPC update_manual_bl_charge. Resultado observável: Invalida linhas/detalhe/lista do B/L e pendências. Em falha: RPC rejeita linha automática, ausente ou invoice protegida.</x:v>
      </x:c>
      <x:c r="H206" s="34" t="str">
        <x:v>Linha manual existente e B/L elegível</x:v>
      </x:c>
      <x:c r="I206" s="34" t="str">
        <x:v>BlCobrancasTab</x:v>
      </x:c>
      <x:c r="J206" s="34" t="str">
        <x:v>useUpdateManualBlCharge → updateManualBlCharge</x:v>
      </x:c>
      <x:c r="K206" s="34" t="str">
        <x:v>RPC update_manual_bl_charge</x:v>
      </x:c>
      <x:c r="L206" s="34" t="str">
        <x:v>Invalida linhas/detalhe/lista do B/L e pendências</x:v>
      </x:c>
      <x:c r="M206" s="34" t="str">
        <x:v>RPC rejeita linha automática, ausente ou invoice protegida</x:v>
      </x:c>
      <x:c r="N206" s="34" t="str">
        <x:v>Código: src/components/bl/BlCobrancasTab.tsx, src/hooks/useLocalCharges.ts, supabase/migrations/20260614120000_guard_manual_charges_and_clear_pix_on_reversal.sql</x:v>
      </x:c>
      <x:c r="O206" s="34" t="str">
        <x:v>docs/modules/taxas-locais.md</x:v>
      </x:c>
      <x:c r="P206" s="34" t="str">
        <x:v>Runtime</x:v>
      </x:c>
      <x:c r="Q206" s="34" t="str">
        <x:v>Blocked</x:v>
      </x:c>
      <x:c r="R206" s="34" t="str"/>
      <x:c r="S206" s="34" t="str">
        <x:v>Not Needed</x:v>
      </x:c>
      <x:c r="T206" s="34" t="str">
        <x:v>Not Applicable</x:v>
      </x:c>
      <x:c r="U206" s="34" t="str">
        <x:v>Passed</x:v>
      </x:c>
      <x:c r="V206" s="34" t="str">
        <x:v>Service and SQL-contract tests validate guarded manual-charge updates.</x:v>
      </x:c>
      <x:c r="W206" s="34" t="str">
        <x:v>localCharges.test.ts; guardManualChargesMigration.test.ts</x:v>
      </x:c>
    </x:row>
    <x:row r="207" ht="54" customHeight="1">
      <x:c r="A207" s="33" t="str">
        <x:v>US-206</x:v>
      </x:c>
      <x:c r="B207" s="33" t="str">
        <x:v>taxas-locais</x:v>
      </x:c>
      <x:c r="C207" s="33" t="str">
        <x:v>B/L · excluir cobrança manual</x:v>
      </x:c>
      <x:c r="D207" s="33" t="str">
        <x:v>B/L · excluir cobrança manual</x:v>
      </x:c>
      <x:c r="E207" s="33" t="str">
        <x:v>Usuário interno</x:v>
      </x:c>
      <x:c r="F207" s="34" t="str">
        <x:v>Como usuário interno, quero b/l · excluir cobrança manual para concluir o objetivo operacional descrito pela interface.</x:v>
      </x:c>
      <x:c r="G207" s="34" t="str">
        <x:v>Ao b/l · excluir cobrança manual, o sistema deve executar useDeleteManualBlCharge → deleteManualBlCharge. Persistência esperada: RPC delete_manual_bl_charge. Resultado observável: Mesmas invalidações da edição. Em falha: RPC rejeita linha automática, ausente ou invoice protegida.</x:v>
      </x:c>
      <x:c r="H207" s="34" t="str">
        <x:v>Linha manual existente e confirmação da tela</x:v>
      </x:c>
      <x:c r="I207" s="34" t="str">
        <x:v>BlCobrancasTab</x:v>
      </x:c>
      <x:c r="J207" s="34" t="str">
        <x:v>useDeleteManualBlCharge → deleteManualBlCharge</x:v>
      </x:c>
      <x:c r="K207" s="34" t="str">
        <x:v>RPC delete_manual_bl_charge</x:v>
      </x:c>
      <x:c r="L207" s="34" t="str">
        <x:v>Mesmas invalidações da edição</x:v>
      </x:c>
      <x:c r="M207" s="34" t="str">
        <x:v>RPC rejeita linha automática, ausente ou invoice protegida</x:v>
      </x:c>
      <x:c r="N207" s="34" t="str">
        <x:v>Código: src/components/bl/BlCobrancasTab.tsx, src/services/charges/chargeOperationsService.ts, supabase/migrations/20260614120000_guard_manual_charges_and_clear_pix_on_reversal.sql</x:v>
      </x:c>
      <x:c r="O207" s="34" t="str">
        <x:v>docs/modules/taxas-locais.md</x:v>
      </x:c>
      <x:c r="P207" s="34" t="str">
        <x:v>Runtime</x:v>
      </x:c>
      <x:c r="Q207" s="34" t="str">
        <x:v>Blocked</x:v>
      </x:c>
      <x:c r="R207" s="34" t="str"/>
      <x:c r="S207" s="34" t="str">
        <x:v>Not Needed</x:v>
      </x:c>
      <x:c r="T207" s="34" t="str">
        <x:v>Not Applicable</x:v>
      </x:c>
      <x:c r="U207" s="34" t="str">
        <x:v>Passed</x:v>
      </x:c>
      <x:c r="V207" s="34" t="str">
        <x:v>Service and SQL-contract tests validate guarded manual-charge deletion.</x:v>
      </x:c>
      <x:c r="W207" s="34" t="str">
        <x:v>localCharges.test.ts; guardManualChargesMigration.test.ts</x:v>
      </x:c>
    </x:row>
    <x:row r="208" ht="54" customHeight="1">
      <x:c r="A208" s="33" t="str">
        <x:v>US-207</x:v>
      </x:c>
      <x:c r="B208" s="33" t="str">
        <x:v>taxas-locais</x:v>
      </x:c>
      <x:c r="C208" s="33" t="str">
        <x:v>B/L ou lote · marcar revisado</x:v>
      </x:c>
      <x:c r="D208" s="33" t="str">
        <x:v>B/L ou lote · marcar revisado</x:v>
      </x:c>
      <x:c r="E208" s="33" t="str">
        <x:v>Usuário interno</x:v>
      </x:c>
      <x:c r="F208" s="34" t="str">
        <x:v>Como usuário interno, quero b/l ou lote · marcar revisado para concluir o objetivo operacional descrito pela interface.</x:v>
      </x:c>
      <x:c r="G208" s="34" t="str">
        <x:v>Ao b/l ou lote · marcar revisado, o sistema deve executar markBlChargesReviewed / markLocalChargesReviewedBatch. Persistência esperada: RPC mark_bl_charges_reviewed → status das linhas/B/L e auditoria. Resultado observável: Individual invalida linhas, detalhe, B/Ls, pendências e viagens; lote invalida operações, pendências, B/Ls e bls.detail(''). Em falha: Erros do lote são agregados por B/L; Granito trata “review” como sucesso sem escrita.</x:v>
      </x:c>
      <x:c r="H208" s="34" t="str">
        <x:v>Sem regra de seleção além dos IDs; a RPC valida linhas</x:v>
      </x:c>
      <x:c r="I208" s="34" t="str">
        <x:v>BlCobrancasTab ou ValidacaoTab</x:v>
      </x:c>
      <x:c r="J208" s="34" t="str">
        <x:v>markBlChargesReviewed / markLocalChargesReviewedBatch</x:v>
      </x:c>
      <x:c r="K208" s="34" t="str">
        <x:v>RPC mark_bl_charges_reviewed → status das linhas/B/L e auditoria</x:v>
      </x:c>
      <x:c r="L208" s="34" t="str">
        <x:v>Individual invalida linhas, detalhe, B/Ls, pendências e viagens; lote invalida operações, pendências, B/Ls e bls.detail('')</x:v>
      </x:c>
      <x:c r="M208" s="34" t="str">
        <x:v>Erros do lote são agregados por B/L; Granito trata “review” como sucesso sem escrita</x:v>
      </x:c>
      <x:c r="N208" s="34" t="str">
        <x:v>Código: src/hooks/useLocalCharges.ts, src/components/billing/ValidacaoTab.tsx, src/services/charges/chargeOperationsService.ts</x:v>
      </x:c>
      <x:c r="O208" s="34" t="str">
        <x:v>docs/modules/taxas-locais.md</x:v>
      </x:c>
      <x:c r="P208" s="34" t="str">
        <x:v>Runtime</x:v>
      </x:c>
      <x:c r="Q208" s="34" t="str">
        <x:v>Blocked</x:v>
      </x:c>
      <x:c r="R208" s="34" t="str"/>
      <x:c r="S208" s="34" t="str">
        <x:v>Not Needed</x:v>
      </x:c>
      <x:c r="T208" s="34" t="str">
        <x:v>Not Applicable</x:v>
      </x:c>
      <x:c r="U208" s="34" t="str">
        <x:v>Passed</x:v>
      </x:c>
      <x:c r="V208" s="34" t="str">
        <x:v>Service tests validate individual and batch review transitions with isolated failures.</x:v>
      </x:c>
      <x:c r="W208" s="34" t="str">
        <x:v>src/services/__tests__/localCharges.test.ts</x:v>
      </x:c>
    </x:row>
    <x:row r="209" ht="54" customHeight="1">
      <x:c r="A209" s="33" t="str">
        <x:v>US-208</x:v>
      </x:c>
      <x:c r="B209" s="33" t="str">
        <x:v>taxas-locais</x:v>
      </x:c>
      <x:c r="C209" s="33" t="str">
        <x:v>B/L ou lote · marcar pronto para faturar</x:v>
      </x:c>
      <x:c r="D209" s="33" t="str">
        <x:v>B/L ou lote · marcar pronto para faturar</x:v>
      </x:c>
      <x:c r="E209" s="33" t="str">
        <x:v>Usuário interno</x:v>
      </x:c>
      <x:c r="F209" s="34" t="str">
        <x:v>Como usuário interno, quero b/l ou lote · marcar pronto para faturar para concluir o objetivo operacional descrito pela interface.</x:v>
      </x:c>
      <x:c r="G209" s="34" t="str">
        <x:v>Ao b/l ou lote · marcar pronto para faturar, o sistema deve executar markBlReadyForBilling / markLocalChargesReadyBatch. Persistência esperada: RPC mark_bl_ready_for_billing; charge_calculations, bls, audit_logs. Resultado observável: Individual também invalida invoices; lote invalida operações, pendências, B/Ls, bls.detail('') e viagens. Em falha: RPC define billing_hold_reason e rejeita cada gate.</x:v>
      </x:c>
      <x:c r="H209" s="34" t="str">
        <x:v>Cliente vinculado/reconciliado, gate canônico sem pendências, nenhuma linha pendente ou USD, valor BRL positivo e tabela vigente</x:v>
      </x:c>
      <x:c r="I209" s="34" t="str">
        <x:v>BlCobrancasTab ou ValidacaoTab</x:v>
      </x:c>
      <x:c r="J209" s="34" t="str">
        <x:v>markBlReadyForBilling / markLocalChargesReadyBatch</x:v>
      </x:c>
      <x:c r="K209" s="34" t="str">
        <x:v>RPC mark_bl_ready_for_billing; charge_calculations, bls, audit_logs</x:v>
      </x:c>
      <x:c r="L209" s="34" t="str">
        <x:v>Individual também invalida invoices; lote invalida operações, pendências, B/Ls, bls.detail('') e viagens</x:v>
      </x:c>
      <x:c r="M209" s="34" t="str">
        <x:v>RPC define billing_hold_reason e rejeita cada gate</x:v>
      </x:c>
      <x:c r="N209" s="34" t="str">
        <x:v>Código atual: src/services/charges/chargeOperationsService.ts, supabase/migrations/20260619130000_review_gate_hardening.sql · Teste de contrato SQL: src/services/__tests__/guardInvoiceableReadyStateMigration.test.ts sobre supabase/migrations/20260618163840_guard_invoiceable_ready_state.sql</x:v>
      </x:c>
      <x:c r="O209" s="34" t="str">
        <x:v>docs/modules/taxas-locais.md</x:v>
      </x:c>
      <x:c r="P209" s="34" t="str">
        <x:v>Automated — SQL contract</x:v>
      </x:c>
      <x:c r="Q209" s="34" t="str">
        <x:v>Passed</x:v>
      </x:c>
      <x:c r="R209" s="34" t="str"/>
      <x:c r="S209" s="34" t="str">
        <x:v>Not Needed</x:v>
      </x:c>
      <x:c r="T209" s="34" t="str">
        <x:v>Not Applicable</x:v>
      </x:c>
      <x:c r="U209" s="34" t="str">
        <x:v>Passed</x:v>
      </x:c>
      <x:c r="V209" s="34" t="str">
        <x:v>Service, SQL-contract and integration tests validate the canonical ready-for-billing gate.</x:v>
      </x:c>
      <x:c r="W209" s="34" t="str">
        <x:v>localCharges.test.ts; guardInvoiceableReadyStateMigration.test.ts; Supabase integration</x:v>
      </x:c>
    </x:row>
    <x:row r="210" ht="54" customHeight="1">
      <x:c r="A210" s="33" t="str">
        <x:v>US-209</x:v>
      </x:c>
      <x:c r="B210" s="33" t="str">
        <x:v>taxas-locais</x:v>
      </x:c>
      <x:c r="C210" s="33" t="str">
        <x:v>/faturamento · aprovar reconciliação de cliente</x:v>
      </x:c>
      <x:c r="D210" s="33" t="str">
        <x:v>/faturamento · aprovar reconciliação de cliente</x:v>
      </x:c>
      <x:c r="E210" s="33" t="str">
        <x:v>Usuário interno</x:v>
      </x:c>
      <x:c r="F210" s="34" t="str">
        <x:v>Como usuário interno, quero /faturamento · aprovar reconciliação de cliente para concluir o objetivo operacional descrito pela interface.</x:v>
      </x:c>
      <x:c r="G210" s="34" t="str">
        <x:v>Ao /faturamento · aprovar reconciliação de cliente, o sistema deve executar useApproveCustomerReconciliation → approveCustomerReconciliation. Persistência esperada: RPC approve_customer_reconciliation → fila e B/L. Resultado observável: Invalida reconciliation.queue(), charges.operations(), billingRuns.list(50), B/Ls e bls.detail(''). Em falha: Sem cliente, a UI bloqueia; RPC propaga conflito/estado inválido.</x:v>
      </x:c>
      <x:c r="H210" s="34" t="str">
        <x:v>Item pendente com cliente sugerido/vinculado</x:v>
      </x:c>
      <x:c r="I210" s="34" t="str">
        <x:v>ValidacaoTab.handleApproveQueueItem</x:v>
      </x:c>
      <x:c r="J210" s="34" t="str">
        <x:v>useApproveCustomerReconciliation → approveCustomerReconciliation</x:v>
      </x:c>
      <x:c r="K210" s="34" t="str">
        <x:v>RPC approve_customer_reconciliation → fila e B/L</x:v>
      </x:c>
      <x:c r="L210" s="34" t="str">
        <x:v>Invalida reconciliation.queue(), charges.operations(), billingRuns.list(50), B/Ls e bls.detail('')</x:v>
      </x:c>
      <x:c r="M210" s="34" t="str">
        <x:v>Sem cliente, a UI bloqueia; RPC propaga conflito/estado inválido</x:v>
      </x:c>
      <x:c r="N210" s="34" t="str">
        <x:v>Código: src/components/billing/ValidacaoTab.tsx, src/services/charges/chargeReconciliationService.ts</x:v>
      </x:c>
      <x:c r="O210" s="34" t="str">
        <x:v>docs/modules/taxas-locais.md</x:v>
      </x:c>
      <x:c r="P210" s="34" t="str">
        <x:v>Runtime</x:v>
      </x:c>
      <x:c r="Q210" s="34" t="str">
        <x:v>Blocked</x:v>
      </x:c>
      <x:c r="R210" s="34" t="str"/>
      <x:c r="S210" s="34" t="str">
        <x:v>Not Needed</x:v>
      </x:c>
      <x:c r="T210" s="34" t="str">
        <x:v>Not Applicable</x:v>
      </x:c>
      <x:c r="U210" s="34" t="str">
        <x:v>Passed</x:v>
      </x:c>
      <x:c r="V210" s="34" t="str">
        <x:v>Service tests and shared billing behavior cover approval routing and cache invalidation.</x:v>
      </x:c>
      <x:c r="W210" s="34" t="str">
        <x:v>localCharges.test.ts; queryKeysPrefix.test.ts</x:v>
      </x:c>
    </x:row>
    <x:row r="211" ht="54" customHeight="1">
      <x:c r="A211" s="33" t="str">
        <x:v>US-210</x:v>
      </x:c>
      <x:c r="B211" s="33" t="str">
        <x:v>taxas-locais</x:v>
      </x:c>
      <x:c r="C211" s="33" t="str">
        <x:v>/faturamento · rejeitar reconciliação de cliente</x:v>
      </x:c>
      <x:c r="D211" s="33" t="str">
        <x:v>/faturamento · rejeitar reconciliação de cliente</x:v>
      </x:c>
      <x:c r="E211" s="33" t="str">
        <x:v>Usuário interno</x:v>
      </x:c>
      <x:c r="F211" s="34" t="str">
        <x:v>Como usuário interno, quero /faturamento · rejeitar reconciliação de cliente para concluir o objetivo operacional descrito pela interface.</x:v>
      </x:c>
      <x:c r="G211" s="34" t="str">
        <x:v>Ao /faturamento · rejeitar reconciliação de cliente, o sistema deve executar useRejectCustomerReconciliation → rejectCustomerReconciliation. Persistência esperada: RPC reject_customer_reconciliation → fila e B/L. Resultado observável: Mesmas invalidações da aprovação. Em falha: RPC propaga conflito/estado inválido.</x:v>
      </x:c>
      <x:c r="H211" s="34" t="str">
        <x:v>Item pendente</x:v>
      </x:c>
      <x:c r="I211" s="34" t="str">
        <x:v>ValidacaoTab.handleRejectQueueItem</x:v>
      </x:c>
      <x:c r="J211" s="34" t="str">
        <x:v>useRejectCustomerReconciliation → rejectCustomerReconciliation</x:v>
      </x:c>
      <x:c r="K211" s="34" t="str">
        <x:v>RPC reject_customer_reconciliation → fila e B/L</x:v>
      </x:c>
      <x:c r="L211" s="34" t="str">
        <x:v>Mesmas invalidações da aprovação</x:v>
      </x:c>
      <x:c r="M211" s="34" t="str">
        <x:v>RPC propaga conflito/estado inválido</x:v>
      </x:c>
      <x:c r="N211" s="34" t="str">
        <x:v>Código: src/components/billing/ValidacaoTab.tsx, src/hooks/useLocalCharges.ts</x:v>
      </x:c>
      <x:c r="O211" s="34" t="str">
        <x:v>docs/modules/taxas-locais.md</x:v>
      </x:c>
      <x:c r="P211" s="34" t="str">
        <x:v>Runtime</x:v>
      </x:c>
      <x:c r="Q211" s="34" t="str">
        <x:v>Blocked</x:v>
      </x:c>
      <x:c r="R211" s="34" t="str"/>
      <x:c r="S211" s="34" t="str">
        <x:v>Not Needed</x:v>
      </x:c>
      <x:c r="T211" s="34" t="str">
        <x:v>Not Applicable</x:v>
      </x:c>
      <x:c r="U211" s="34" t="str">
        <x:v>Passed</x:v>
      </x:c>
      <x:c r="V211" s="34" t="str">
        <x:v>Service tests and shared billing behavior cover rejection routing and cache invalidation.</x:v>
      </x:c>
      <x:c r="W211" s="34" t="str">
        <x:v>localCharges.test.ts; queryKeysPrefix.test.ts</x:v>
      </x:c>
    </x:row>
    <x:row r="212" ht="54" customHeight="1">
      <x:c r="A212" s="33" t="str">
        <x:v>US-211</x:v>
      </x:c>
      <x:c r="B212" s="33" t="str">
        <x:v>viagens</x:v>
      </x:c>
      <x:c r="C212" s="33" t="str">
        <x:v>/viagens</x:v>
      </x:c>
      <x:c r="D212" s="33" t="str">
        <x:v>buscar, filtrar e ordenar rail</x:v>
      </x:c>
      <x:c r="E212" s="33" t="str">
        <x:v>Usuário interno</x:v>
      </x:c>
      <x:c r="F212" s="34" t="str">
        <x:v>Como usuário interno, quero buscar, filtrar e ordenar rail para concluir o objetivo operacional descrito pela interface.</x:v>
      </x:c>
      <x:c r="G212" s="34" t="str">
        <x:v>Ao buscar, filtrar e ordenar rail, o sistema deve executar filterVoyageRailItems combina busca, status, conciliação e período; ordena por ETA/navio. Persistência esperada: Nenhuma. Resultado observável: Não altera cache; contador deriva da lista visível. Em falha: ETA ausente exclui a viagem dos filtros de período; intervalo vazio não filtra.</x:v>
      </x:c>
      <x:c r="H212" s="34" t="str">
        <x:v>Lista carregada; filtros são locais</x:v>
      </x:c>
      <x:c r="I212" s="34" t="str">
        <x:v>VoyageFilters</x:v>
      </x:c>
      <x:c r="J212" s="34" t="str">
        <x:v>filterVoyageRailItems combina busca, status, conciliação e período; ordena por ETA/navio</x:v>
      </x:c>
      <x:c r="K212" s="34" t="str">
        <x:v>Nenhuma</x:v>
      </x:c>
      <x:c r="L212" s="34" t="str">
        <x:v>Não altera cache; contador deriva da lista visível</x:v>
      </x:c>
      <x:c r="M212" s="34" t="str">
        <x:v>ETA ausente exclui a viagem dos filtros de período; intervalo vazio não filtra</x:v>
      </x:c>
      <x:c r="N212" s="34" t="str">
        <x:v>src/components/voyages/VoyageFilters.tsx; src/lib/viagensFilters.ts; src/lib/__tests__/viagensFilters.test.ts</x:v>
      </x:c>
      <x:c r="O212" s="34" t="str">
        <x:v>docs/modules/viagens.md</x:v>
      </x:c>
      <x:c r="P212" s="34" t="str">
        <x:v>Runtime</x:v>
      </x:c>
      <x:c r="Q212" s="34" t="str">
        <x:v>Blocked</x:v>
      </x:c>
      <x:c r="R212" s="34" t="str"/>
      <x:c r="S212" s="34" t="str">
        <x:v>Not Needed</x:v>
      </x:c>
      <x:c r="T212" s="34" t="str">
        <x:v>Not Applicable</x:v>
      </x:c>
      <x:c r="U212" s="34" t="str">
        <x:v>Passed</x:v>
      </x:c>
      <x:c r="V212" s="34" t="str">
        <x:v>filterVoyageRailItems tests cover search, status, conciliation, period windows and next-call ordering.</x:v>
      </x:c>
      <x:c r="W212" s="34" t="str">
        <x:v>src/lib/__tests__/viagensFilters.test.ts</x:v>
      </x:c>
    </x:row>
    <x:row r="213" ht="54" customHeight="1">
      <x:c r="A213" s="33" t="str">
        <x:v>US-212</x:v>
      </x:c>
      <x:c r="B213" s="33" t="str">
        <x:v>viagens</x:v>
      </x:c>
      <x:c r="C213" s="33" t="str">
        <x:v>/viagens</x:v>
      </x:c>
      <x:c r="D213" s="33" t="str">
        <x:v>selecionar viagem e sincronizar rota</x:v>
      </x:c>
      <x:c r="E213" s="33" t="str">
        <x:v>Usuário interno</x:v>
      </x:c>
      <x:c r="F213" s="34" t="str">
        <x:v>Como usuário interno, quero selecionar viagem e sincronizar rota para concluir o objetivo operacional descrito pela interface.</x:v>
      </x:c>
      <x:c r="G213" s="34" t="str">
        <x:v>Ao selecionar viagem e sincronizar rota, o sistema deve executar navigate('/viagens/' + id); voltar no mobile usa /viagens. Persistência esperada: Nenhuma. Resultado observável: A troca monta VoyageCard com key={voyage.id} e reinicia estado local das abas. Em falha: ID removido entre lista e clique cai no estado “não encontrada”.</x:v>
      </x:c>
      <x:c r="H213" s="34" t="str">
        <x:v>ID existente no rail</x:v>
      </x:c>
      <x:c r="I213" s="34" t="str">
        <x:v>VoyageRail.onSelect</x:v>
      </x:c>
      <x:c r="J213" s="34" t="str">
        <x:v>navigate('/viagens/' + id); voltar no mobile usa /viagens</x:v>
      </x:c>
      <x:c r="K213" s="34" t="str">
        <x:v>Nenhuma</x:v>
      </x:c>
      <x:c r="L213" s="34" t="str">
        <x:v>A troca monta VoyageCard com key={voyage.id} e reinicia estado local das abas</x:v>
      </x:c>
      <x:c r="M213" s="34" t="str">
        <x:v>ID removido entre lista e clique cai no estado “não encontrada”</x:v>
      </x:c>
      <x:c r="N213" s="34" t="str">
        <x:v>src/pages/Viagens.tsx; src/components/voyages/VoyageRail.tsx</x:v>
      </x:c>
      <x:c r="O213" s="34" t="str">
        <x:v>docs/modules/viagens.md</x:v>
      </x:c>
      <x:c r="P213" s="34" t="str">
        <x:v>Runtime</x:v>
      </x:c>
      <x:c r="Q213" s="34" t="str">
        <x:v>Blocked</x:v>
      </x:c>
      <x:c r="R213" s="34" t="str"/>
      <x:c r="S213" s="34" t="str">
        <x:v>Not Needed</x:v>
      </x:c>
      <x:c r="T213" s="34" t="str">
        <x:v>Not Applicable</x:v>
      </x:c>
      <x:c r="U213" s="34" t="str">
        <x:v>Passed</x:v>
      </x:c>
      <x:c r="V213" s="34" t="str">
        <x:v>VoyageRail test: clicking a rail item fires onSelect with the voyage id; empty rail shows the no-voyages message.</x:v>
      </x:c>
      <x:c r="W213" s="34" t="str">
        <x:v>src/components/voyages/__tests__/VoyageRail.behavior.test.tsx</x:v>
      </x:c>
    </x:row>
    <x:row r="214" ht="54" customHeight="1">
      <x:c r="A214" s="33" t="str">
        <x:v>US-213</x:v>
      </x:c>
      <x:c r="B214" s="33" t="str">
        <x:v>viagens</x:v>
      </x:c>
      <x:c r="C214" s="33" t="str">
        <x:v>/viagens/:voyageId</x:v>
      </x:c>
      <x:c r="D214" s="33" t="str">
        <x:v>tratar ID inválido ou excluído</x:v>
      </x:c>
      <x:c r="E214" s="33" t="str">
        <x:v>Usuário interno</x:v>
      </x:c>
      <x:c r="F214" s="34" t="str">
        <x:v>Como usuário interno, quero tratar id inválido ou excluído para concluir o objetivo operacional descrito pela interface.</x:v>
      </x:c>
      <x:c r="G214" s="34" t="str">
        <x:v>Ao tratar id inválido ou excluído, o sistema deve executar Busca em voyages.find; não consulta detalhe isolado. Persistência esperada: Nenhuma. Resultado observável: Mantém lista e URL atuais. Em falha: NaN, ID inexistente ou removido mostra estado vazio; não redireciona.</x:v>
      </x:c>
      <x:c r="H214" s="34" t="str">
        <x:v>Parâmetro presente</x:v>
      </x:c>
      <x:c r="I214" s="34" t="str">
        <x:v>selectedVoyageId = Number(voyageId)</x:v>
      </x:c>
      <x:c r="J214" s="34" t="str">
        <x:v>Busca em voyages.find; não consulta detalhe isolado</x:v>
      </x:c>
      <x:c r="K214" s="34" t="str">
        <x:v>Nenhuma</x:v>
      </x:c>
      <x:c r="L214" s="34" t="str">
        <x:v>Mantém lista e URL atuais</x:v>
      </x:c>
      <x:c r="M214" s="34" t="str">
        <x:v>NaN, ID inexistente ou removido mostra estado vazio; não redireciona</x:v>
      </x:c>
      <x:c r="N214" s="34" t="str">
        <x:v>src/pages/Viagens.tsx; docs/adr/0012-viagens-master-detail-rota-dedicada.md</x:v>
      </x:c>
      <x:c r="O214" s="34" t="str">
        <x:v>docs/modules/viagens.md</x:v>
      </x:c>
      <x:c r="P214" s="34" t="str">
        <x:v>Runtime</x:v>
      </x:c>
      <x:c r="Q214" s="34" t="str">
        <x:v>Blocked</x:v>
      </x:c>
      <x:c r="R214" s="34" t="str"/>
      <x:c r="S214" s="34" t="str">
        <x:v>Not Needed</x:v>
      </x:c>
      <x:c r="T214" s="34" t="str">
        <x:v>Not Applicable</x:v>
      </x:c>
      <x:c r="U214" s="34" t="str">
        <x:v>Passed</x:v>
      </x:c>
      <x:c r="V214" s="34" t="str">
        <x:v>Viagens page test: no selection shows 'Selecione uma viagem'; an unknown :voyageId keeps the screen and shows 'Viagem nao encontrada'.</x:v>
      </x:c>
      <x:c r="W214" s="34" t="str">
        <x:v>src/pages/__tests__/Viagens.behavior.test.tsx</x:v>
      </x:c>
    </x:row>
    <x:row r="215" ht="54" customHeight="1">
      <x:c r="A215" s="33" t="str">
        <x:v>US-214</x:v>
      </x:c>
      <x:c r="B215" s="33" t="str">
        <x:v>viagens</x:v>
      </x:c>
      <x:c r="C215" s="33" t="str">
        <x:v>Criar ou editar viagem</x:v>
      </x:c>
      <x:c r="D215" s="33" t="str">
        <x:v>Criar ou editar viagem</x:v>
      </x:c>
      <x:c r="E215" s="33" t="str">
        <x:v>Usuário interno</x:v>
      </x:c>
      <x:c r="F215" s="34" t="str">
        <x:v>Como usuário interno, quero criar ou editar viagem para concluir o objetivo operacional descrito pela interface.</x:v>
      </x:c>
      <x:c r="G215" s="34" t="str">
        <x:v>Ao criar ou editar viagem, o sistema deve executar Zod normaliza armador, SCAC, navio, IMO, viagem, status e POD/ETA; createVoyage/updateVoyage reutilizam ou criam carrier/vessel. Persistência esperada: carriers, vessels, voyages; eventos entity_type='voyages'; POD/ETA via audit_logs. Resultado observável: Invalida ['voyages'], ['voyage-options'], ['voyage-pod-schedules'], ['bls'], ['lineup-tv-v3'], ['lineup-tv-display-v2']. Em falha: Validação do formulário; falha de lookup/insert/update/auditoria.</x:v>
      </x:c>
      <x:c r="H215" s="34" t="str">
        <x:v>Admin para abrir pela página; usuário autenticado para auditoria completa</x:v>
      </x:c>
      <x:c r="I215" s="34" t="str">
        <x:v>VoyageCreateModal</x:v>
      </x:c>
      <x:c r="J215" s="34" t="str">
        <x:v>Zod normaliza armador, SCAC, navio, IMO, viagem, status e POD/ETA; createVoyage/updateVoyage reutilizam ou criam carrier/vessel</x:v>
      </x:c>
      <x:c r="K215" s="34" t="str">
        <x:v>carriers, vessels, voyages; eventos entity_type='voyages'; POD/ETA via audit_logs</x:v>
      </x:c>
      <x:c r="L215" s="34" t="str">
        <x:v>Invalida ['voyages'], ['voyage-options'], ['voyage-pod-schedules'], ['bls'], ['lineup-tv-v3'], ['lineup-tv-display-v2']</x:v>
      </x:c>
      <x:c r="M215" s="34" t="str">
        <x:v>Validação do formulário; falha de lookup/insert/update/auditoria</x:v>
      </x:c>
      <x:c r="N215" s="34" t="str">
        <x:v>src/components/shared/VoyageCreateModal.tsx; src/services/voyageForm.ts; src/services/voyages.ts</x:v>
      </x:c>
      <x:c r="O215" s="34" t="str">
        <x:v>docs/modules/viagens.md</x:v>
      </x:c>
      <x:c r="P215" s="34" t="str">
        <x:v>Runtime</x:v>
      </x:c>
      <x:c r="Q215" s="34" t="str">
        <x:v>Blocked</x:v>
      </x:c>
      <x:c r="R215" s="34" t="str"/>
      <x:c r="S215" s="34" t="str">
        <x:v>Not Needed</x:v>
      </x:c>
      <x:c r="T215" s="34" t="str">
        <x:v>Not Applicable</x:v>
      </x:c>
      <x:c r="U215" s="34" t="str">
        <x:v>Passed</x:v>
      </x:c>
      <x:c r="V215" s="34" t="str">
        <x:v>voyageForm tests cover trim/uppercase normalization, POD dedup-by-uppercase and Zod validation of required fields.</x:v>
      </x:c>
      <x:c r="W215" s="34" t="str">
        <x:v>src/services/__tests__/voyageForm.test.ts</x:v>
      </x:c>
    </x:row>
    <x:row r="216" ht="54" customHeight="1">
      <x:c r="A216" s="33" t="str">
        <x:v>US-215</x:v>
      </x:c>
      <x:c r="B216" s="33" t="str">
        <x:v>viagens</x:v>
      </x:c>
      <x:c r="C216" s="33" t="str">
        <x:v>Excluir viagem</x:v>
      </x:c>
      <x:c r="D216" s="33" t="str">
        <x:v>Excluir viagem</x:v>
      </x:c>
      <x:c r="E216" s="33" t="str">
        <x:v>Usuário interno</x:v>
      </x:c>
      <x:c r="F216" s="34" t="str">
        <x:v>Como usuário interno, quero excluir viagem para concluir o objetivo operacional descrito pela interface.</x:v>
      </x:c>
      <x:c r="G216" s="34" t="str">
        <x:v>Ao excluir viagem, o sistema deve executar deleteVoyage pré-conta dependências e só então executa delete. Persistência esperada: voyages. Resultado observável: Invalida ['voyages'], ['voyage-options'], ['voyage-pod-schedules'], ['bls'], ['containers'], ['dashboard'], ['lineup-tv-v3'], ['lineup-tv-display-v2']; seleção volta a /viagens. Em falha: Dependências bloqueiam com contagens; RLS/DB podem negar.</x:v>
      </x:c>
      <x:c r="H216" s="34" t="str">
        <x:v>Admin; sem B/L, batch CNTR/BB, manifesto de Granito ou manifesto de vazios</x:v>
      </x:c>
      <x:c r="I216" s="34" t="str">
        <x:v>Modal em Viagens</x:v>
      </x:c>
      <x:c r="J216" s="34" t="str">
        <x:v>deleteVoyage pré-conta dependências e só então executa delete</x:v>
      </x:c>
      <x:c r="K216" s="34" t="str">
        <x:v>voyages</x:v>
      </x:c>
      <x:c r="L216" s="34" t="str">
        <x:v>Invalida ['voyages'], ['voyage-options'], ['voyage-pod-schedules'], ['bls'], ['containers'], ['dashboard'], ['lineup-tv-v3'], ['lineup-tv-display-v2']; seleção volta a /viagens</x:v>
      </x:c>
      <x:c r="M216" s="34" t="str">
        <x:v>Dependências bloqueiam com contagens; RLS/DB podem negar</x:v>
      </x:c>
      <x:c r="N216" s="34" t="str">
        <x:v>src/pages/Viagens.tsx; src/services/voyages.ts</x:v>
      </x:c>
      <x:c r="O216" s="34" t="str">
        <x:v>docs/modules/viagens.md</x:v>
      </x:c>
      <x:c r="P216" s="34" t="str">
        <x:v>Runtime</x:v>
      </x:c>
      <x:c r="Q216" s="34" t="str">
        <x:v>Blocked</x:v>
      </x:c>
      <x:c r="R216" s="34" t="str"/>
      <x:c r="S216" s="34" t="str">
        <x:v>Not Needed</x:v>
      </x:c>
      <x:c r="T216" s="34" t="str">
        <x:v>Not Applicable</x:v>
      </x:c>
      <x:c r="U216" s="34" t="str">
        <x:v>Passed</x:v>
      </x:c>
      <x:c r="V216" s="34" t="str">
        <x:v>deleteVoyage tests cover the dependency pre-count guard (blocks with B/Ls) and the delete on a clean voyage.</x:v>
      </x:c>
      <x:c r="W216" s="34" t="str">
        <x:v>src/services/__tests__/voyageMutations.test.ts</x:v>
      </x:c>
    </x:row>
    <x:row r="217" ht="54" customHeight="1">
      <x:c r="A217" s="33" t="str">
        <x:v>US-216</x:v>
      </x:c>
      <x:c r="B217" s="33" t="str">
        <x:v>viagens</x:v>
      </x:c>
      <x:c r="C217" s="33" t="str">
        <x:v>Adicionar ou editar schedule POD</x:v>
      </x:c>
      <x:c r="D217" s="33" t="str">
        <x:v>Adicionar ou editar schedule POD</x:v>
      </x:c>
      <x:c r="E217" s="33" t="str">
        <x:v>Usuário interno</x:v>
      </x:c>
      <x:c r="F217" s="34" t="str">
        <x:v>Como usuário interno, quero adicionar ou editar schedule pod para concluir o objetivo operacional descrito pela interface.</x:v>
      </x:c>
      <x:c r="G217" s="34" t="str">
        <x:v>Ao adicionar ou editar schedule pod, o sistema deve executar saveVoyagePodSchedule compara o estado reconstruído e insere apenas campos alterados; ATD pode alternar status da viagem. Persistência esperada: audit_logs, entity_type='voyage_pod_schedule', entity_id='&lt;voyageId&gt;::&lt;POD&gt;'; trigger materializa voyages.pod_schedule_snapshot. Resultado observável: Invalida ['voyage-pod-schedules'], ['voyage-timeline'], ['lineup-tv-v3'], ['lineup-tv-display-v2']. Em falha: Sessão sem usuário; insert de auditoria; atualização de status da viagem.</x:v>
      </x:c>
      <x:c r="H217" s="34" t="str">
        <x:v>Usuário com user.id; POD não vazio para inclusão</x:v>
      </x:c>
      <x:c r="I217" s="34" t="str">
        <x:v>AddPodToVoyageModal / PodScheduleModal</x:v>
      </x:c>
      <x:c r="J217" s="34" t="str">
        <x:v>saveVoyagePodSchedule compara o estado reconstruído e insere apenas campos alterados; ATD pode alternar status da viagem</x:v>
      </x:c>
      <x:c r="K217" s="34" t="str">
        <x:v>audit_logs, entity_type='voyage_pod_schedule', entity_id='&lt;voyageId&gt;::&lt;POD&gt;'; trigger materializa voyages.pod_schedule_snapshot</x:v>
      </x:c>
      <x:c r="L217" s="34" t="str">
        <x:v>Invalida ['voyage-pod-schedules'], ['voyage-timeline'], ['lineup-tv-v3'], ['lineup-tv-display-v2']</x:v>
      </x:c>
      <x:c r="M217" s="34" t="str">
        <x:v>Sessão sem usuário; insert de auditoria; atualização de status da viagem</x:v>
      </x:c>
      <x:c r="N217" s="34" t="str">
        <x:v>src/pages/Viagens.tsx; src/components/shared/VoyageScheduleModals.tsx; src/services/voyageRouteSchedules.ts; supabase/migrations/046_voyage_schedule_snapshot_trigger.sql</x:v>
      </x:c>
      <x:c r="O217" s="34" t="str">
        <x:v>docs/modules/viagens.md</x:v>
      </x:c>
      <x:c r="P217" s="34" t="str">
        <x:v>Runtime</x:v>
      </x:c>
      <x:c r="Q217" s="34" t="str">
        <x:v>Blocked</x:v>
      </x:c>
      <x:c r="R217" s="34" t="str"/>
      <x:c r="S217" s="34" t="str">
        <x:v>Not Needed</x:v>
      </x:c>
      <x:c r="T217" s="34" t="str">
        <x:v>Not Applicable</x:v>
      </x:c>
      <x:c r="U217" s="34" t="str">
        <x:v>Passed</x:v>
      </x:c>
      <x:c r="V217" s="34" t="str">
        <x:v>PodScheduleModal/AddPodToVoyageModal tests cover prefill, typed payload, restow/escala normalization and disabled-while-empty.</x:v>
      </x:c>
      <x:c r="W217" s="34" t="str">
        <x:v>src/components/shared/__tests__/VoyageScheduleModals.test.tsx</x:v>
      </x:c>
    </x:row>
    <x:row r="218" ht="54" customHeight="1">
      <x:c r="A218" s="33" t="str">
        <x:v>US-217</x:v>
      </x:c>
      <x:c r="B218" s="33" t="str">
        <x:v>viagens</x:v>
      </x:c>
      <x:c r="C218" s="33" t="str">
        <x:v>Editar schedule POL e CE Master</x:v>
      </x:c>
      <x:c r="D218" s="33" t="str">
        <x:v>Editar schedule POL e CE Master</x:v>
      </x:c>
      <x:c r="E218" s="33" t="str">
        <x:v>Usuário interno</x:v>
      </x:c>
      <x:c r="F218" s="34" t="str">
        <x:v>Como usuário interno, quero editar schedule pol e ce master para concluir o objetivo operacional descrito pela interface.</x:v>
      </x:c>
      <x:c r="G218" s="34" t="str">
        <x:v>Ao editar schedule pol e ce master, o sistema deve executar Salva ETD em saveVoyagePolSchedule; grava o mesmo CE Master em todos os batches do manifesto com setImportBatchCeMaster. Persistência esperada: ETD em audit_logs (voyage_pol_schedule); CE Master em import_batches.ce_master + audit_logs. Resultado observável: Invalida ['voyage-pol-schedules'], ['voyage-pod-schedules'], ['voyage-timeline'], ['voyages']. Em falha: Falha parcial é possível entre ETD e múltiplos updates de batch, pois a sequência do frontend não é uma transação única.</x:v>
      </x:c>
      <x:c r="H218" s="34" t="str">
        <x:v>Usuário com user.id; manifesto agrupado possui batch IDs</x:v>
      </x:c>
      <x:c r="I218" s="34" t="str">
        <x:v>PolScheduleModal</x:v>
      </x:c>
      <x:c r="J218" s="34" t="str">
        <x:v>Salva ETD em saveVoyagePolSchedule; grava o mesmo CE Master em todos os batches do manifesto com setImportBatchCeMaster</x:v>
      </x:c>
      <x:c r="K218" s="34" t="str">
        <x:v>ETD em audit_logs (voyage_pol_schedule); CE Master em import_batches.ce_master + audit_logs</x:v>
      </x:c>
      <x:c r="L218" s="34" t="str">
        <x:v>Invalida ['voyage-pol-schedules'], ['voyage-pod-schedules'], ['voyage-timeline'], ['voyages']</x:v>
      </x:c>
      <x:c r="M218" s="34" t="str">
        <x:v>Falha parcial é possível entre ETD e múltiplos updates de batch, pois a sequência do frontend não é uma transação única</x:v>
      </x:c>
      <x:c r="N218" s="34" t="str">
        <x:v>src/pages/Viagens.tsx; src/services/voyageRouteSchedules.ts; src/services/manifestImport.ts; supabase/migrations/20260616120000_import_batches_ce_master.sql</x:v>
      </x:c>
      <x:c r="O218" s="34" t="str">
        <x:v>docs/modules/viagens.md</x:v>
      </x:c>
      <x:c r="P218" s="34" t="str">
        <x:v>Runtime</x:v>
      </x:c>
      <x:c r="Q218" s="34" t="str">
        <x:v>Blocked</x:v>
      </x:c>
      <x:c r="R218" s="34" t="str"/>
      <x:c r="S218" s="34" t="str">
        <x:v>Not Needed</x:v>
      </x:c>
      <x:c r="T218" s="34" t="str">
        <x:v>Not Applicable</x:v>
      </x:c>
      <x:c r="U218" s="34" t="str">
        <x:v>Passed</x:v>
      </x:c>
      <x:c r="V218" s="34" t="str">
        <x:v>PolScheduleModal tests cover ETD prefill, null-on-clear and CE Master propagation to the manifest batches.</x:v>
      </x:c>
      <x:c r="W218" s="34" t="str">
        <x:v>src/components/shared/__tests__/VoyageScheduleModals.test.tsx</x:v>
      </x:c>
    </x:row>
    <x:row r="219" ht="54" customHeight="1">
      <x:c r="A219" s="33" t="str">
        <x:v>US-218</x:v>
      </x:c>
      <x:c r="B219" s="33" t="str">
        <x:v>viagens</x:v>
      </x:c>
      <x:c r="C219" s="33" t="str">
        <x:v>Excluir snapshot/POD do planejamento</x:v>
      </x:c>
      <x:c r="D219" s="33" t="str">
        <x:v>Excluir snapshot/POD do planejamento</x:v>
      </x:c>
      <x:c r="E219" s="33" t="str">
        <x:v>Usuário interno</x:v>
      </x:c>
      <x:c r="F219" s="34" t="str">
        <x:v>Como usuário interno, quero excluir snapshot/pod do planejamento para concluir o objetivo operacional descrito pela interface.</x:v>
      </x:c>
      <x:c r="G219" s="34" t="str">
        <x:v>Ao excluir snapshot/pod do planejamento, o sistema deve executar deleteVoyagePodSchedule grava deleted=true; a leitura omite schedules cujo último marcador está deletado. Persistência esperada: Evento insert-only em audit_logs; trigger atualiza pod_schedule_snapshot. Resultado observável: Invalida ['voyage-pod-schedules'], ['voyage-timeline'], ['lineup-tv-v3'], ['lineup-tv-display-v2']. Em falha: B/L vinculado bloqueia; ausência de dados vira informação; 42501 é traduzido como falta de permissão.</x:v>
      </x:c>
      <x:c r="H219" s="34" t="str">
        <x:v>Admin; POD sem B/L vinculado; possui dados de agenda ou linked=true; usuário autenticado</x:v>
      </x:c>
      <x:c r="I219" s="34" t="str">
        <x:v>Lixeira da grade em VoyageCard</x:v>
      </x:c>
      <x:c r="J219" s="34" t="str">
        <x:v>deleteVoyagePodSchedule grava deleted=true; a leitura omite schedules cujo último marcador está deletado</x:v>
      </x:c>
      <x:c r="K219" s="34" t="str">
        <x:v>Evento insert-only em audit_logs; trigger atualiza pod_schedule_snapshot</x:v>
      </x:c>
      <x:c r="L219" s="34" t="str">
        <x:v>Invalida ['voyage-pod-schedules'], ['voyage-timeline'], ['lineup-tv-v3'], ['lineup-tv-display-v2']</x:v>
      </x:c>
      <x:c r="M219" s="34" t="str">
        <x:v>B/L vinculado bloqueia; ausência de dados vira informação; 42501 é traduzido como falta de permissão</x:v>
      </x:c>
      <x:c r="N219" s="34" t="str">
        <x:v>src/components/voyages/VoyageCard.tsx; src/services/voyageRouteSchedules.ts; supabase/migrations/052_fix_voyage_snapshot_null_new_value.sql</x:v>
      </x:c>
      <x:c r="O219" s="34" t="str">
        <x:v>docs/modules/viagens.md</x:v>
      </x:c>
      <x:c r="P219" s="34" t="str">
        <x:v>Runtime</x:v>
      </x:c>
      <x:c r="Q219" s="34" t="str">
        <x:v>Blocked</x:v>
      </x:c>
      <x:c r="R219" s="34" t="str"/>
      <x:c r="S219" s="34" t="str">
        <x:v>Not Needed</x:v>
      </x:c>
      <x:c r="T219" s="34" t="str">
        <x:v>Not Applicable</x:v>
      </x:c>
      <x:c r="U219" s="34" t="str">
        <x:v>Passed</x:v>
      </x:c>
      <x:c r="V219" s="34" t="str">
        <x:v>deleteVoyagePodSchedule test asserts the insert-only audit event (field deleted, false-&gt;true) for the POD.</x:v>
      </x:c>
      <x:c r="W219" s="34" t="str">
        <x:v>src/services/__tests__/voyageMutations.test.ts</x:v>
      </x:c>
    </x:row>
    <x:row r="220" ht="54" customHeight="1">
      <x:c r="A220" s="33" t="str">
        <x:v>US-219</x:v>
      </x:c>
      <x:c r="B220" s="33" t="str">
        <x:v>viagens</x:v>
      </x:c>
      <x:c r="C220" s="33" t="str">
        <x:v>Criar/editar ou excluir export schedule</x:v>
      </x:c>
      <x:c r="D220" s="33" t="str">
        <x:v>Criar/editar ou excluir export schedule</x:v>
      </x:c>
      <x:c r="E220" s="33" t="str">
        <x:v>Usuário interno</x:v>
      </x:c>
      <x:c r="F220" s="34" t="str">
        <x:v>Como usuário interno, quero criar/editar ou excluir export schedule para concluir o objetivo operacional descrito pela interface.</x:v>
      </x:c>
      <x:c r="G220" s="34" t="str">
        <x:v>Ao criar/editar ou excluir export schedule, o sistema deve executar Upsert por voyage_id; delete por id. Persistência esperada: voyage_export_schedules. Resultado observável: Invalida ['voyage-export-schedules'], ['lineup-tv-v3'], ['lineup-tv-display-v2']. Em falha: Erro de RLS/DB; a UI mostra mensagem genérica.</x:v>
      </x:c>
      <x:c r="H220" s="34" t="str">
        <x:v>Admin</x:v>
      </x:c>
      <x:c r="I220" s="34" t="str">
        <x:v>ExportScheduleModal e linha EXP</x:v>
      </x:c>
      <x:c r="J220" s="34" t="str">
        <x:v>Upsert por voyage_id; delete por id</x:v>
      </x:c>
      <x:c r="K220" s="34" t="str">
        <x:v>voyage_export_schedules</x:v>
      </x:c>
      <x:c r="L220" s="34" t="str">
        <x:v>Invalida ['voyage-export-schedules'], ['lineup-tv-v3'], ['lineup-tv-display-v2']</x:v>
      </x:c>
      <x:c r="M220" s="34" t="str">
        <x:v>Erro de RLS/DB; a UI mostra mensagem genérica</x:v>
      </x:c>
      <x:c r="N220" s="34" t="str">
        <x:v>src/pages/Viagens.tsx; src/components/voyages/VoyageCard.tsx; src/services/voyageExportSchedules.ts</x:v>
      </x:c>
      <x:c r="O220" s="34" t="str">
        <x:v>docs/modules/viagens.md</x:v>
      </x:c>
      <x:c r="P220" s="34" t="str">
        <x:v>Runtime</x:v>
      </x:c>
      <x:c r="Q220" s="34" t="str">
        <x:v>Blocked</x:v>
      </x:c>
      <x:c r="R220" s="34" t="str"/>
      <x:c r="S220" s="34" t="str">
        <x:v>Not Needed</x:v>
      </x:c>
      <x:c r="T220" s="34" t="str">
        <x:v>Not Applicable</x:v>
      </x:c>
      <x:c r="U220" s="34" t="str">
        <x:v>Passed</x:v>
      </x:c>
      <x:c r="V220" s="34" t="str">
        <x:v>ExportScheduleModal tests cover prefill from existing record, POL uppercase and empty-quantity-to-null payload.</x:v>
      </x:c>
      <x:c r="W220" s="34" t="str">
        <x:v>src/components/shared/__tests__/VoyageScheduleModals.test.tsx</x:v>
      </x:c>
    </x:row>
    <x:row r="221" ht="54" customHeight="1">
      <x:c r="A221" s="33" t="str">
        <x:v>US-220</x:v>
      </x:c>
      <x:c r="B221" s="33" t="str">
        <x:v>viagens</x:v>
      </x:c>
      <x:c r="C221" s="33" t="str">
        <x:v>Carregar timeline</x:v>
      </x:c>
      <x:c r="D221" s="33" t="str">
        <x:v>Carregar timeline</x:v>
      </x:c>
      <x:c r="E221" s="33" t="str">
        <x:v>Usuário interno</x:v>
      </x:c>
      <x:c r="F221" s="34" t="str">
        <x:v>Como usuário interno, quero carregar timeline para concluir o objetivo operacional descrito pela interface.</x:v>
      </x:c>
      <x:c r="G221" s="34" t="str">
        <x:v>Ao carregar timeline, o sistema deve executar Busca agendas e auditoria, resoluções Baplie, primeira importação Baplie e nomes de atores; buildVoyageTimeline humaniza e ordena. Persistência esperada: Leitura de audit_logs, baplie_reconciliation_resolutions, baplie_containers, user_profiles; batches vêm do payload de voyages. Resultado observável: Família ['voyage-timeline', voyageId], stale time 60 s. Em falha: Qualquer fonte obrigatória com erro rejeita a query; não há paginação além dos ranges de 500 eventos por fonte.</x:v>
      </x:c>
      <x:c r="H221" s="34" t="str">
        <x:v>Viagem selecionada</x:v>
      </x:c>
      <x:c r="I221" s="34" t="str">
        <x:v>useVoyageTimeline</x:v>
      </x:c>
      <x:c r="J221" s="34" t="str">
        <x:v>Busca agendas e auditoria, resoluções Baplie, primeira importação Baplie e nomes de atores; buildVoyageTimeline humaniza e ordena</x:v>
      </x:c>
      <x:c r="K221" s="34" t="str">
        <x:v>Leitura de audit_logs, baplie_reconciliation_resolutions, baplie_containers, user_profiles; batches vêm do payload de voyages</x:v>
      </x:c>
      <x:c r="L221" s="34" t="str">
        <x:v>Família ['voyage-timeline', voyageId], stale time 60 s</x:v>
      </x:c>
      <x:c r="M221" s="34" t="str">
        <x:v>Qualquer fonte obrigatória com erro rejeita a query; não há paginação além dos ranges de 500 eventos por fonte</x:v>
      </x:c>
      <x:c r="N221" s="34" t="str">
        <x:v>src/hooks/useVoyageTimeline.ts; src/services/voyageTimeline.ts; src/pages/viagensHelpers.ts</x:v>
      </x:c>
      <x:c r="O221" s="34" t="str">
        <x:v>docs/modules/viagens.md</x:v>
      </x:c>
      <x:c r="P221" s="34" t="str">
        <x:v>Runtime</x:v>
      </x:c>
      <x:c r="Q221" s="34" t="str">
        <x:v>Blocked</x:v>
      </x:c>
      <x:c r="R221" s="34" t="str"/>
      <x:c r="S221" s="34" t="str">
        <x:v>Not Needed</x:v>
      </x:c>
      <x:c r="T221" s="34" t="str">
        <x:v>Not Applicable</x:v>
      </x:c>
      <x:c r="U221" s="34" t="str">
        <x:v>Passed</x:v>
      </x:c>
      <x:c r="V221" s="34" t="str">
        <x:v>buildVoyageTimeline tests cover import/CE Master/CE coverage/Baplie events and empty-source handling.</x:v>
      </x:c>
      <x:c r="W221" s="34" t="str">
        <x:v>src/pages/__tests__/voyageTimeline.behavior.test.ts</x:v>
      </x:c>
    </x:row>
    <x:row r="222" ht="54" customHeight="1">
      <x:c r="A222" s="33" t="str">
        <x:v>US-221</x:v>
      </x:c>
      <x:c r="B222" s="33" t="str">
        <x:v>viagens</x:v>
      </x:c>
      <x:c r="C222" s="33" t="str">
        <x:v>Carregar resumo de conciliação</x:v>
      </x:c>
      <x:c r="D222" s="33" t="str">
        <x:v>Carregar resumo de conciliação</x:v>
      </x:c>
      <x:c r="E222" s="33" t="str">
        <x:v>Usuário interno</x:v>
      </x:c>
      <x:c r="F222" s="34" t="str">
        <x:v>Como usuário interno, quero carregar resumo de conciliação para concluir o objetivo operacional descrito pela interface.</x:v>
      </x:c>
      <x:c r="G222" s="34" t="str">
        <x:v>Ao carregar resumo de conciliação, o sistema deve executar reconcileBaplieWithManifest compara Baplie full com bl_containers da viagem. Persistência esperada: Leitura de baplie_containers, bls, bl_containers, baplie_reconciliation_resolutions. Resultado observável: Família ['baplie-reconciliation', voyageId], compartilhada com /baplie, stale time 60 s. Em falha: Consultas paginadas podem falhar; part lot com múltiplos matches não gera decisão automática.</x:v>
      </x:c>
      <x:c r="H222" s="34" t="str">
        <x:v>Viagem selecionada; staging/manifesto podem estar vazios</x:v>
      </x:c>
      <x:c r="I222" s="34" t="str">
        <x:v>useVoyageReconciliation</x:v>
      </x:c>
      <x:c r="J222" s="34" t="str">
        <x:v>reconcileBaplieWithManifest compara Baplie full com bl_containers da viagem</x:v>
      </x:c>
      <x:c r="K222" s="34" t="str">
        <x:v>Leitura de baplie_containers, bls, bl_containers, baplie_reconciliation_resolutions</x:v>
      </x:c>
      <x:c r="L222" s="34" t="str">
        <x:v>Família ['baplie-reconciliation', voyageId], compartilhada com /baplie, stale time 60 s</x:v>
      </x:c>
      <x:c r="M222" s="34" t="str">
        <x:v>Consultas paginadas podem falhar; part lot com múltiplos matches não gera decisão automática</x:v>
      </x:c>
      <x:c r="N222" s="34" t="str">
        <x:v>src/hooks/useVoyageReconciliation.ts; src/services/baplieReconciliation.ts</x:v>
      </x:c>
      <x:c r="O222" s="34" t="str">
        <x:v>docs/modules/viagens.md</x:v>
      </x:c>
      <x:c r="P222" s="34" t="str">
        <x:v>Runtime</x:v>
      </x:c>
      <x:c r="Q222" s="34" t="str">
        <x:v>Blocked</x:v>
      </x:c>
      <x:c r="R222" s="34" t="str"/>
      <x:c r="S222" s="34" t="str">
        <x:v>Not Needed</x:v>
      </x:c>
      <x:c r="T222" s="34" t="str">
        <x:v>Not Applicable</x:v>
      </x:c>
      <x:c r="U222" s="34" t="str">
        <x:v>Passed</x:v>
      </x:c>
      <x:c r="V222" s="34" t="str">
        <x:v>reconcileBaplieWithManifest tests cover full-vs-manifest comparison, empty staging and paginated reads.</x:v>
      </x:c>
      <x:c r="W222" s="34" t="str">
        <x:v>src/services/__tests__/baplieReconciliation.test.ts</x:v>
      </x:c>
    </x:row>
    <x:row r="223" ht="54" customHeight="1">
      <x:c r="A223" s="33" t="str">
        <x:v>US-222</x:v>
      </x:c>
      <x:c r="B223" s="33" t="str">
        <x:v>viagens</x:v>
      </x:c>
      <x:c r="C223" s="33" t="str">
        <x:v>Navegar para manifestos, carga solta, Granito, vazios e Baplie</x:v>
      </x:c>
      <x:c r="D223" s="33" t="str">
        <x:v>Navegar para manifestos, carga solta, Granito, vazios e Baplie</x:v>
      </x:c>
      <x:c r="E223" s="33" t="str">
        <x:v>Usuário interno</x:v>
      </x:c>
      <x:c r="F223" s="34" t="str">
        <x:v>Como usuário interno, quero navegar para manifestos, carga solta, granito, vazios e baplie para concluir o objetivo operacional descrito pela interface.</x:v>
      </x:c>
      <x:c r="G223" s="34" t="str">
        <x:v>Ao navegar para manifestos, carga solta, granito, vazios e baplie, o sistema deve executar navigate acrescenta ?voyage=&lt;id&gt;. Persistência esperada: Nenhuma. Resultado observável: A tela destino decide se consome o parâmetro. Em falha: /carga-solta não lê hoje o parâmetro; /vazios redireciona sem preservar explicitamente a query.</x:v>
      </x:c>
      <x:c r="H223" s="34" t="str">
        <x:v>Card habilitado quando há dados; Baplie aparece para divergências</x:v>
      </x:c>
      <x:c r="I223" s="34" t="str">
        <x:v>NavigationCard / botão “Resolver divergências”</x:v>
      </x:c>
      <x:c r="J223" s="34" t="str">
        <x:v>navigate acrescenta ?voyage=&lt;id&gt;</x:v>
      </x:c>
      <x:c r="K223" s="34" t="str">
        <x:v>Nenhuma</x:v>
      </x:c>
      <x:c r="L223" s="34" t="str">
        <x:v>A tela destino decide se consome o parâmetro</x:v>
      </x:c>
      <x:c r="M223" s="34" t="str">
        <x:v>/carga-solta não lê hoje o parâmetro; /vazios redireciona sem preservar explicitamente a query</x:v>
      </x:c>
      <x:c r="N223" s="34" t="str">
        <x:v>src/components/voyages/VoyageCard.tsx; src/App.tsx; src/pages/Manifestos.tsx; src/pages/CargaSolta.tsx; src/pages/EmbarqueVazios.tsx</x:v>
      </x:c>
      <x:c r="O223" s="34" t="str">
        <x:v>docs/modules/viagens.md</x:v>
      </x:c>
      <x:c r="P223" s="34" t="str">
        <x:v>Runtime</x:v>
      </x:c>
      <x:c r="Q223" s="34" t="str">
        <x:v>Failed</x:v>
      </x:c>
      <x:c r="R223" s="34" t="str">
        <x:v>DEF-001, DEF-002</x:v>
      </x:c>
      <x:c r="S223" s="34" t="str">
        <x:v>Fixed</x:v>
      </x:c>
      <x:c r="T223" s="34" t="str">
        <x:v>Passed</x:v>
      </x:c>
      <x:c r="U223" s="34" t="str">
        <x:v>Passed</x:v>
      </x:c>
      <x:c r="V223" s="34" t="str">
        <x:v>Post-fix focused tests passed: DEF-001, DEF-002</x:v>
      </x:c>
      <x:c r="W223" s="34" t="str">
        <x:v>Atalho de Viagens para Carga Solta perde o filtro da viagem | Redirect legado de Vazios não preserva explicitamente o contexto da viagem</x:v>
      </x:c>
    </x:row>
    <x:row r="224" ht="54" customHeight="1">
      <x:c r="A224" s="33" t="str">
        <x:v>US-223</x:v>
      </x:c>
      <x:c r="B224" s="33" t="str">
        <x:v>viagens</x:v>
      </x:c>
      <x:c r="C224" s="33" t="str">
        <x:v>Importação rápida no contexto da viagem</x:v>
      </x:c>
      <x:c r="D224" s="33" t="str">
        <x:v>Importação rápida no contexto da viagem</x:v>
      </x:c>
      <x:c r="E224" s="33" t="str">
        <x:v>Usuário interno</x:v>
      </x:c>
      <x:c r="F224" s="34" t="str">
        <x:v>Como usuário interno, quero importação rápida no contexto da viagem para concluir o objetivo operacional descrito pela interface.</x:v>
      </x:c>
      <x:c r="G224" s="34" t="str">
        <x:v>Ao importação rápida no contexto da viagem, o sistema deve executar Abre parsers/previews de CNTR, BB, Granito, vazios, veículos ou Baplie com voyageId travado. Persistência esperada: Conforme o importador proprietário. Resultado observável: Usa arrays literais como ['bls'], ['voyages'], ['lineup-tv-v3'], ['baplie-staging', voyageId], ['vehicles']. Em falha: A atomicidade varia por importador; detalhes em Manifestos &amp; EDI.</x:v>
      </x:c>
      <x:c r="H224" s="34" t="str">
        <x:v>Usuário autenticado; tipo disponível na aba</x:v>
      </x:c>
      <x:c r="I224" s="34" t="str">
        <x:v>VoyageImportActions</x:v>
      </x:c>
      <x:c r="J224" s="34" t="str">
        <x:v>Abre parsers/previews de CNTR, BB, Granito, vazios, veículos ou Baplie com voyageId travado</x:v>
      </x:c>
      <x:c r="K224" s="34" t="str">
        <x:v>Conforme o importador proprietário</x:v>
      </x:c>
      <x:c r="L224" s="34" t="str">
        <x:v>Usa arrays literais como ['bls'], ['voyages'], ['lineup-tv-v3'], ['baplie-staging', voyageId], ['vehicles']</x:v>
      </x:c>
      <x:c r="M224" s="34" t="str">
        <x:v>A atomicidade varia por importador; detalhes em Manifestos &amp; EDI</x:v>
      </x:c>
      <x:c r="N224" s="34" t="str">
        <x:v>src/components/shared/VoyageImportActions.tsx; src/components/shared/FileImportModal.tsx</x:v>
      </x:c>
      <x:c r="O224" s="34" t="str">
        <x:v>docs/modules/viagens.md</x:v>
      </x:c>
      <x:c r="P224" s="34" t="str">
        <x:v>Runtime</x:v>
      </x:c>
      <x:c r="Q224" s="34" t="str">
        <x:v>Blocked</x:v>
      </x:c>
      <x:c r="R224" s="34" t="str"/>
      <x:c r="S224" s="34" t="str">
        <x:v>Not Needed</x:v>
      </x:c>
      <x:c r="T224" s="34" t="str">
        <x:v>Not Applicable</x:v>
      </x:c>
      <x:c r="U224" s="34" t="str">
        <x:v>Passed</x:v>
      </x:c>
      <x:c r="V224" s="34" t="str">
        <x:v>VoyageImportActions test: renders one voyage-scoped quick-import action per import type (CNTR/BB/Granito/Baplie).</x:v>
      </x:c>
      <x:c r="W224" s="34" t="str">
        <x:v>src/components/shared/__tests__/VoyageImportActions.behavior.test.tsx</x:v>
      </x:c>
    </x:row>
  </x:sheetData>
  <x:conditionalFormatting sqref="Q2:Q224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Blocked"/>
  </x:conditionalFormatting>
  <x:conditionalFormatting sqref="U2:U224">
    <x:cfRule type="containsText" dxfId="3" priority="4" operator="containsText" text="Passed"/>
    <x:cfRule type="containsText" dxfId="4" priority="5" operator="containsText" text="Failed"/>
    <x:cfRule type="containsText" dxfId="5" priority="6" operator="containsText" text="Blocked"/>
  </x:conditionalFormatting>
  <x:dataValidations count="5">
    <x:dataValidation type="list" sqref="P2:P224">
      <x:formula1>'Lists'!$A$2:$A$7</x:formula1>
    </x:dataValidation>
    <x:dataValidation type="list" sqref="Q2:Q224">
      <x:formula1>'Lists'!$A$2:$A$7</x:formula1>
    </x:dataValidation>
    <x:dataValidation type="list" sqref="S2:S224">
      <x:formula1>'Lists'!$B$2:$B$7</x:formula1>
    </x:dataValidation>
    <x:dataValidation type="list" sqref="T2:T224">
      <x:formula1>'Lists'!$C$2:$C$7</x:formula1>
    </x:dataValidation>
    <x:dataValidation type="list" sqref="U2:U224">
      <x:formula1>'Lists'!$D$2:$D$7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e0e6f97c304f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2" hidden="0" customWidth="1"/>
    <x:col min="9" max="9" width="42" hidden="0" customWidth="1"/>
    <x:col min="10" max="10" width="4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36" t="str">
        <x:v>Defect ID</x:v>
      </x:c>
      <x:c r="B1" s="36" t="str">
        <x:v>Story ID</x:v>
      </x:c>
      <x:c r="C1" s="36" t="str">
        <x:v>Title</x:v>
      </x:c>
      <x:c r="D1" s="36" t="str">
        <x:v>Category</x:v>
      </x:c>
      <x:c r="E1" s="36" t="str">
        <x:v>Severity</x:v>
      </x:c>
      <x:c r="F1" s="36" t="str">
        <x:v>Status</x:v>
      </x:c>
      <x:c r="G1" s="36" t="str">
        <x:v>Environment</x:v>
      </x:c>
      <x:c r="H1" s="36" t="str">
        <x:v>Reproduction</x:v>
      </x:c>
      <x:c r="I1" s="36" t="str">
        <x:v>Expected</x:v>
      </x:c>
      <x:c r="J1" s="36" t="str">
        <x:v>Actual</x:v>
      </x:c>
      <x:c r="K1" s="36" t="str">
        <x:v>Evidence</x:v>
      </x:c>
      <x:c r="L1" s="36" t="str">
        <x:v>Root Cause</x:v>
      </x:c>
      <x:c r="M1" s="36" t="str">
        <x:v>Fix Summary</x:v>
      </x:c>
      <x:c r="N1" s="36" t="str">
        <x:v>Focused Test</x:v>
      </x:c>
      <x:c r="O1" s="36" t="str">
        <x:v>Post-fix Result</x:v>
      </x:c>
      <x:c r="P1" s="36" t="str">
        <x:v>Files Changed</x:v>
      </x:c>
      <x:c r="Q1" s="36" t="str">
        <x:v>Notes</x:v>
      </x:c>
    </x:row>
    <x:row r="2">
      <x:c r="A2" t="str">
        <x:v>DEF-001</x:v>
      </x:c>
      <x:c r="B2" t="str">
        <x:v>US-222</x:v>
      </x:c>
      <x:c r="C2" t="str">
        <x:v>Atalho de Viagens para Carga Solta perde o filtro da viagem</x:v>
      </x:c>
      <x:c r="D2" t="str">
        <x:v>Logística / navegação</x:v>
      </x:c>
      <x:c r="E2" t="str">
        <x:v>Medium</x:v>
      </x:c>
      <x:c r="F2" t="str">
        <x:v>Fixed</x:v>
      </x:c>
      <x:c r="G2" t="str">
        <x:v>Local focused test; live Supabase retest pending</x:v>
      </x:c>
      <x:c r="H2" t="str">
        <x:v>Abrir uma viagem e usar o card de Carga Solta; a URL contém ?voyage=&lt;id&gt;.</x:v>
      </x:c>
      <x:c r="I2" t="str">
        <x:v>Carga Solta inicia com a viagem de origem selecionada.</x:v>
      </x:c>
      <x:c r="J2" t="str">
        <x:v>CargaSolta inicializa voyageId vazio e ignora os parâmetros da URL.</x:v>
      </x:c>
      <x:c r="K2" t="str">
        <x:v>src/components/voyages/VoyageCard.tsx; src/pages/CargaSolta.tsx; docs/modules/viagens.md:118</x:v>
      </x:c>
      <x:c r="L2" t="str">
        <x:v>CargaSolta não lê useSearchParams ao criar o estado inicial de filtros.</x:v>
      </x:c>
      <x:c r="M2" t="str">
        <x:v>Carga Solta inicializa filtro e modal com o parâmetro voyage da URL.</x:v>
      </x:c>
      <x:c r="N2" t="str">
        <x:v>npx vitest run src/pages/__tests__/cargaSoltaRoute.test.ts</x:v>
      </x:c>
      <x:c r="O2" t="str">
        <x:v>Passed</x:v>
      </x:c>
      <x:c r="P2" t="str">
        <x:v>src/pages/CargaSolta.tsx; src/pages/cargaSoltaRoute.ts; teste focado</x:v>
      </x:c>
      <x:c r="Q2" t="str">
        <x:v>Focused automated regression passed; live database verification remains blocked.</x:v>
      </x:c>
    </x:row>
    <x:row r="3">
      <x:c r="A3" t="str">
        <x:v>DEF-002</x:v>
      </x:c>
      <x:c r="B3" t="str">
        <x:v>US-222</x:v>
      </x:c>
      <x:c r="C3" t="str">
        <x:v>Redirect legado de Vazios não preserva explicitamente o contexto da viagem</x:v>
      </x:c>
      <x:c r="D3" t="str">
        <x:v>Logística / navegação</x:v>
      </x:c>
      <x:c r="E3" t="str">
        <x:v>Medium</x:v>
      </x:c>
      <x:c r="F3" t="str">
        <x:v>Fixed</x:v>
      </x:c>
      <x:c r="G3" t="str">
        <x:v>Local focused test; live Supabase retest pending</x:v>
      </x:c>
      <x:c r="H3" t="str">
        <x:v>Navegar para /vazios?voyage=&lt;id&gt; pelo card da viagem.</x:v>
      </x:c>
      <x:c r="I3" t="str">
        <x:v>O destino /embarquevazios recebe o mesmo query string.</x:v>
      </x:c>
      <x:c r="J3" t="str">
        <x:v>A rota usa Navigate com destino fixo /embarquevazios.</x:v>
      </x:c>
      <x:c r="K3" t="str">
        <x:v>src/App.tsx; docs/modules/viagens.md:117</x:v>
      </x:c>
      <x:c r="L3" t="str">
        <x:v>Redirect declarativo não reconstrói o destino com location.search.</x:v>
      </x:c>
      <x:c r="M3" t="str">
        <x:v>O redirect preserva location.search ao navegar para Embarque Vazios.</x:v>
      </x:c>
      <x:c r="N3" t="str">
        <x:v>npx vitest run src/pages/__tests__/VaziosRedirect.test.tsx</x:v>
      </x:c>
      <x:c r="O3" t="str">
        <x:v>Passed</x:v>
      </x:c>
      <x:c r="P3" t="str">
        <x:v>src/App.tsx; src/pages/VaziosRedirect.tsx; teste focado</x:v>
      </x:c>
      <x:c r="Q3" t="str">
        <x:v>Focused automated regression passed; live database verification remains blocked.</x:v>
      </x:c>
    </x:row>
    <x:row r="4">
      <x:c r="A4" t="str">
        <x:v>DEF-003</x:v>
      </x:c>
      <x:c r="B4" t="str">
        <x:v>US-166</x:v>
      </x:c>
      <x:c r="C4" t="str">
        <x:v>Links de notificações do Portal não navegam</x:v>
      </x:c>
      <x:c r="D4" t="str">
        <x:v>UX / navegação</x:v>
      </x:c>
      <x:c r="E4" t="str">
        <x:v>Medium</x:v>
      </x:c>
      <x:c r="F4" t="str">
        <x:v>Fixed</x:v>
      </x:c>
      <x:c r="G4" t="str">
        <x:v>Local focused test; live Supabase retest pending</x:v>
      </x:c>
      <x:c r="H4" t="str">
        <x:v>Abrir o sino e selecionar uma notificação que possua link.</x:v>
      </x:c>
      <x:c r="I4" t="str">
        <x:v>A notificação é marcada como lida e o usuário navega ao destino.</x:v>
      </x:c>
      <x:c r="J4" t="str">
        <x:v>NotificationBell apenas marca a notificação como lida.</x:v>
      </x:c>
      <x:c r="K4" t="str">
        <x:v>src/components/portal/NotificationBell.tsx; docs/modules/portal-cliente.md:177</x:v>
      </x:c>
      <x:c r="L4" t="str">
        <x:v>O campo link retornado pela RPC não é consumido pelo componente.</x:v>
      </x:c>
      <x:c r="M4" t="str">
        <x:v>A linha marca como lida e navega para links internos retornados pela RPC.</x:v>
      </x:c>
      <x:c r="N4" t="str">
        <x:v>npx vitest run src/components/portal/__tests__/NotificationBell.test.tsx</x:v>
      </x:c>
      <x:c r="O4" t="str">
        <x:v>Passed</x:v>
      </x:c>
      <x:c r="P4" t="str">
        <x:v>src/components/portal/NotificationBell.tsx; teste focado</x:v>
      </x:c>
      <x:c r="Q4" t="str">
        <x:v>Focused automated regression passed; live database verification remains blocked.</x:v>
      </x:c>
    </x:row>
    <x:row r="5">
      <x:c r="A5" t="str">
        <x:v>DEF-004</x:v>
      </x:c>
      <x:c r="B5" t="str">
        <x:v>US-175</x:v>
      </x:c>
      <x:c r="C5" t="str">
        <x:v>Falha ao carregar perfil do Portal aparece como dados vazios</x:v>
      </x:c>
      <x:c r="D5" t="str">
        <x:v>UX / estado de erro</x:v>
      </x:c>
      <x:c r="E5" t="str">
        <x:v>High</x:v>
      </x:c>
      <x:c r="F5" t="str">
        <x:v>Fixed</x:v>
      </x:c>
      <x:c r="G5" t="str">
        <x:v>Local focused test; live Supabase retest pending</x:v>
      </x:c>
      <x:c r="H5" t="str">
        <x:v>Fazer portal_get_profile falhar durante a montagem de /portal/perfil.</x:v>
      </x:c>
      <x:c r="I5" t="str">
        <x:v>A tela diferencia indisponibilidade de perfil vazio e impede edição enganosa.</x:v>
      </x:c>
      <x:c r="J5" t="str">
        <x:v>O erro é ignorado e campos vazios podem ser exibidos como dados reais.</x:v>
      </x:c>
      <x:c r="K5" t="str">
        <x:v>src/pages/PortalProfile.tsx; docs/modules/portal-cliente.md:178</x:v>
      </x:c>
      <x:c r="L5" t="str">
        <x:v>A carga do perfil não propaga nem renderiza o erro da RPC.</x:v>
      </x:c>
      <x:c r="M5" t="str">
        <x:v>A carga exibe erro e bloqueia edição/salvamento quando o perfil não pode ser lido.</x:v>
      </x:c>
      <x:c r="N5" t="str">
        <x:v>npx vitest run src/pages/__tests__/PortalProfile.test.tsx</x:v>
      </x:c>
      <x:c r="O5" t="str">
        <x:v>Passed</x:v>
      </x:c>
      <x:c r="P5" t="str">
        <x:v>src/pages/PortalProfile.tsx; src/pages/__tests__/PortalProfile.test.tsx</x:v>
      </x:c>
      <x:c r="Q5" t="str">
        <x:v>Focused automated regression passed; live database verification remains blocked.</x:v>
      </x:c>
    </x:row>
    <x:row r="6">
      <x:c r="A6" t="str">
        <x:v>DEF-005</x:v>
      </x:c>
      <x:c r="B6" t="str">
        <x:v>US-011</x:v>
      </x:c>
      <x:c r="C6" t="str">
        <x:v>Falha do cronograma do Portal é mascarada como lista vazia</x:v>
      </x:c>
      <x:c r="D6" t="str">
        <x:v>UX / estado de erro</x:v>
      </x:c>
      <x:c r="E6" t="str">
        <x:v>High</x:v>
      </x:c>
      <x:c r="F6" t="str">
        <x:v>Fixed</x:v>
      </x:c>
      <x:c r="G6" t="str">
        <x:v>Local focused test; live Supabase retest pending</x:v>
      </x:c>
      <x:c r="H6" t="str">
        <x:v>Fazer a consulta de vessel_schedules falhar no Portal.</x:v>
      </x:c>
      <x:c r="I6" t="str">
        <x:v>O widget informa indisponibilidade e mantém erro distinguível de vazio.</x:v>
      </x:c>
      <x:c r="J6" t="str">
        <x:v>listVesselSchedules registra no console e retorna [].</x:v>
      </x:c>
      <x:c r="K6" t="str">
        <x:v>src/services/vesselSchedules.ts; docs/modules/portal-cliente.md:179</x:v>
      </x:c>
      <x:c r="L6" t="str">
        <x:v>O service converte erro de infraestrutura em resultado vazio bem-sucedido.</x:v>
      </x:c>
      <x:c r="M6" t="str">
        <x:v>O service passou a propagar erros de leitura do cronograma.</x:v>
      </x:c>
      <x:c r="N6" t="str">
        <x:v>npx vitest run src/services/__tests__/vesselSchedules.test.ts</x:v>
      </x:c>
      <x:c r="O6" t="str">
        <x:v>Passed</x:v>
      </x:c>
      <x:c r="P6" t="str">
        <x:v>src/services/vesselSchedules.ts; src/services/__tests__/vesselSchedules.test.ts</x:v>
      </x:c>
      <x:c r="Q6" t="str">
        <x:v>Focused automated regression passed; live database verification remains blocked.</x:v>
      </x:c>
    </x:row>
    <x:row r="7">
      <x:c r="A7" t="str">
        <x:v>DEF-006</x:v>
      </x:c>
      <x:c r="B7" t="str">
        <x:v>US-130</x:v>
      </x:c>
      <x:c r="C7" t="str">
        <x:v>Filtro por autor de auditoria existe no estado mas não na interface</x:v>
      </x:c>
      <x:c r="D7" t="str">
        <x:v>UX / filtro</x:v>
      </x:c>
      <x:c r="E7" t="str">
        <x:v>Low</x:v>
      </x:c>
      <x:c r="F7" t="str">
        <x:v>Fixed</x:v>
      </x:c>
      <x:c r="G7" t="str">
        <x:v>Local focused test; live Supabase retest pending</x:v>
      </x:c>
      <x:c r="H7" t="str">
        <x:v>Abrir Administração &gt; Log de Ações e procurar filtro por autor.</x:v>
      </x:c>
      <x:c r="I7" t="str">
        <x:v>O operador consegue preencher o filtro changedBy suportado pela query.</x:v>
      </x:c>
      <x:c r="J7" t="str">
        <x:v>A UI não renderiza controle para changedBy.</x:v>
      </x:c>
      <x:c r="K7" t="str">
        <x:v>src/pages/AdminUsuarios.tsx:31-50,99-100,280-303; docs/modules/operacao-suporte.md:313</x:v>
      </x:c>
      <x:c r="L7" t="str">
        <x:v>O contrato do filtro não foi exposto na composição visual.</x:v>
      </x:c>
      <x:c r="M7" t="str">
        <x:v>A aba de logs expõe filtro por UUID do autor e o inclui na limpeza dos filtros.</x:v>
      </x:c>
      <x:c r="N7" t="str">
        <x:v>npx vitest run src/services/__tests__/uxCopyContracts.test.ts</x:v>
      </x:c>
      <x:c r="O7" t="str">
        <x:v>Passed</x:v>
      </x:c>
      <x:c r="P7" t="str">
        <x:v>src/pages/AdminUsuarios.tsx; teste de contrato de conteúdo</x:v>
      </x:c>
      <x:c r="Q7" t="str">
        <x:v>Focused automated regression passed; live database verification remains blocked.</x:v>
      </x:c>
    </x:row>
    <x:row r="8">
      <x:c r="A8" t="str">
        <x:v>DEF-007</x:v>
      </x:c>
      <x:c r="B8" t="str"/>
      <x:c r="C8" t="str">
        <x:v>Transações PIX sem candidato desaparecem da revisão</x:v>
      </x:c>
      <x:c r="D8" t="str">
        <x:v>Logística / reconciliação</x:v>
      </x:c>
      <x:c r="E8" t="str">
        <x:v>High</x:v>
      </x:c>
      <x:c r="F8" t="str">
        <x:v>Fixed</x:v>
      </x:c>
      <x:c r="G8" t="str">
        <x:v>Local focused test; live Supabase retest pending</x:v>
      </x:c>
      <x:c r="H8" t="str">
        <x:v>Importar extrato contendo uma transação sem invoice candidata.</x:v>
      </x:c>
      <x:c r="I8" t="str">
        <x:v>A linha aparece como não conciliada/unmatched para revisão.</x:v>
      </x:c>
      <x:c r="J8" t="str">
        <x:v>O serviço omite transações sem candidato.</x:v>
      </x:c>
      <x:c r="K8" t="str">
        <x:v>src/services/reconciliacao.ts; docs/modules/reconciliacao-pix.md:188</x:v>
      </x:c>
      <x:c r="L8" t="str">
        <x:v>A construção do resultado filtra itens sem candidato em vez de classificá-los.</x:v>
      </x:c>
      <x:c r="M8" t="str">
        <x:v>Transações sem candidato permanecem visíveis como pendências unmatched e não entram na confirmação.</x:v>
      </x:c>
      <x:c r="N8" t="str">
        <x:v>npx vitest run src/services/__tests__/reconciliacao.test.ts</x:v>
      </x:c>
      <x:c r="O8" t="str">
        <x:v>Passed</x:v>
      </x:c>
      <x:c r="P8" t="str">
        <x:v>src/services/reconciliacao.ts; src/pages/Reconciliacao.tsx; teste focado</x:v>
      </x:c>
      <x:c r="Q8" t="str">
        <x:v>Focused automated regression passed; live database verification remains blocked.</x:v>
      </x:c>
    </x:row>
    <x:row r="9">
      <x:c r="A9" t="str">
        <x:v>DEF-008</x:v>
      </x:c>
      <x:c r="B9" t="str">
        <x:v>US-183</x:v>
      </x:c>
      <x:c r="C9" t="str">
        <x:v>Filtro Único BL usa valor incompatível com invoice_type</x:v>
      </x:c>
      <x:c r="D9" t="str">
        <x:v>UX / filtro</x:v>
      </x:c>
      <x:c r="E9" t="str">
        <x:v>Medium</x:v>
      </x:c>
      <x:c r="F9" t="str">
        <x:v>Fixed</x:v>
      </x:c>
      <x:c r="G9" t="str">
        <x:v>Local focused test; live Supabase retest pending</x:v>
      </x:c>
      <x:c r="H9" t="str">
        <x:v>Selecionar o filtro Único BL no histórico de conciliação.</x:v>
      </x:c>
      <x:c r="I9" t="str">
        <x:v>O histórico mostra invoices com invoice_type individual.</x:v>
      </x:c>
      <x:c r="J9" t="str">
        <x:v>A UI envia single e o serviço compara por igualdade.</x:v>
      </x:c>
      <x:c r="K9" t="str">
        <x:v>src/components/billing/ReconciliationHistoryTable.tsx; docs/modules/reconciliacao-pix.md:212</x:v>
      </x:c>
      <x:c r="L9" t="str">
        <x:v>Valor visual single não é traduzido para o valor persistido individual.</x:v>
      </x:c>
      <x:c r="M9" t="str">
        <x:v>O filtro visual single é normalizado para individual.</x:v>
      </x:c>
      <x:c r="N9" t="str">
        <x:v>npx vitest run src/services/__tests__/reconciliationInvoiceType.test.ts</x:v>
      </x:c>
      <x:c r="O9" t="str">
        <x:v>Passed</x:v>
      </x:c>
      <x:c r="P9" t="str">
        <x:v>src/services/reconciliacao.ts; teste focado</x:v>
      </x:c>
      <x:c r="Q9" t="str">
        <x:v>Focused automated regression passed; live database verification remains blocked.</x:v>
      </x:c>
    </x:row>
    <x:row r="10">
      <x:c r="A10" t="str">
        <x:v>DEF-009</x:v>
      </x:c>
      <x:c r="B10" t="str">
        <x:v>US-021</x:v>
      </x:c>
      <x:c r="C10" t="str">
        <x:v>Erro de provisionamento orienta aplicar migration obsoleta</x:v>
      </x:c>
      <x:c r="D10" t="str">
        <x:v>UX / mensagem</x:v>
      </x:c>
      <x:c r="E10" t="str">
        <x:v>Low</x:v>
      </x:c>
      <x:c r="F10" t="str">
        <x:v>Fixed</x:v>
      </x:c>
      <x:c r="G10" t="str">
        <x:v>Local focused test; live Supabase retest pending</x:v>
      </x:c>
      <x:c r="H10" t="str">
        <x:v>Acionar erro de contrato ao provisionar Conta de Portal.</x:v>
      </x:c>
      <x:c r="I10" t="str">
        <x:v>A mensagem referencia o contrato/migration vigente ou orientação neutra.</x:v>
      </x:c>
      <x:c r="J10" t="str">
        <x:v>normalizeCustomerPortalRpcError cita 025_billing_orchestration_portal.sql.</x:v>
      </x:c>
      <x:c r="K10" t="str">
        <x:v>src/services/customers.ts; docs/modules/clientes.md:109</x:v>
      </x:c>
      <x:c r="L10" t="str">
        <x:v>Texto de diagnóstico não foi atualizado após o endurecimento do gate.</x:v>
      </x:c>
      <x:c r="M10" t="str">
        <x:v>O erro agora orienta aplicar as migrations pendentes, sem apontar para snapshot histórico.</x:v>
      </x:c>
      <x:c r="N10" t="str">
        <x:v>npx vitest run src/services/__tests__/customers.test.ts</x:v>
      </x:c>
      <x:c r="O10" t="str">
        <x:v>Passed</x:v>
      </x:c>
      <x:c r="P10" t="str">
        <x:v>src/services/customers.ts; teste focado</x:v>
      </x:c>
      <x:c r="Q10" t="str">
        <x:v>Focused automated regression passed; live database verification remains blocked.</x:v>
      </x:c>
    </x:row>
    <x:row r="11">
      <x:c r="A11" t="str">
        <x:v>DEF-010</x:v>
      </x:c>
      <x:c r="B11" t="str">
        <x:v>US-039</x:v>
      </x:c>
      <x:c r="C11" t="str">
        <x:v>Gestão de demurrage não oferece abas para invoices vencidas ou canceladas</x:v>
      </x:c>
      <x:c r="D11" t="str">
        <x:v>UX / visibilidade</x:v>
      </x:c>
      <x:c r="E11" t="str">
        <x:v>High</x:v>
      </x:c>
      <x:c r="F11" t="str">
        <x:v>Fixed</x:v>
      </x:c>
      <x:c r="G11" t="str">
        <x:v>Local focused test; live Supabase retest pending</x:v>
      </x:c>
      <x:c r="H11" t="str">
        <x:v>Mover invoice de demurrage para overdue ou cancelled e abrir /demurrage.</x:v>
      </x:c>
      <x:c r="I11" t="str">
        <x:v>O operador consegue localizar e gerir invoices em todos os estados vigentes na tela proprietária.</x:v>
      </x:c>
      <x:c r="J11" t="str">
        <x:v>A aba Emitidas consulta apenas status issued; overdue e cancelled não possuem aba em /demurrage.</x:v>
      </x:c>
      <x:c r="K11" t="str">
        <x:v>src/pages/Demurrage.tsx; docs/modules/demurrage.md:229</x:v>
      </x:c>
      <x:c r="L11" t="str">
        <x:v>A segmentação de abas não contempla todos os estados persistidos.</x:v>
      </x:c>
      <x:c r="M11" t="str">
        <x:v>A tela agora cobre todos os cinco estados persistidos de Demurrage.</x:v>
      </x:c>
      <x:c r="N11" t="str">
        <x:v>npx vitest run src/services/demurrage/__tests__/demurrageInvoiceTabs.test.ts</x:v>
      </x:c>
      <x:c r="O11" t="str">
        <x:v>Passed</x:v>
      </x:c>
      <x:c r="P11" t="str">
        <x:v>src/pages/Demurrage.tsx; src/services/demurrage/demurrageInvoiceTabs.ts; teste focado</x:v>
      </x:c>
      <x:c r="Q11" t="str">
        <x:v>Focused automated regression passed; live database verification remains blocked.</x:v>
      </x:c>
    </x:row>
    <x:row r="12">
      <x:c r="A12" t="str">
        <x:v>DEF-011</x:v>
      </x:c>
      <x:c r="B12" t="str">
        <x:v>US-001</x:v>
      </x:c>
      <x:c r="C12" t="str">
        <x:v>Legenda afirma confirmação de evento sem dado persistido</x:v>
      </x:c>
      <x:c r="D12" t="str">
        <x:v>UX / conteúdo</x:v>
      </x:c>
      <x:c r="E12" t="str">
        <x:v>Medium</x:v>
      </x:c>
      <x:c r="F12" t="str">
        <x:v>Fixed</x:v>
      </x:c>
      <x:c r="G12" t="str">
        <x:v>Local focused test; live Supabase retest pending</x:v>
      </x:c>
      <x:c r="H12" t="str">
        <x:v>Abrir /chegadas-saidas e comparar datas azuis com os dados persistidos.</x:v>
      </x:c>
      <x:c r="I12" t="str">
        <x:v>A legenda descreve exatamente o significado visual da cor.</x:v>
      </x:c>
      <x:c r="J12" t="str">
        <x:v>A cor significa apenas data parseável anterior a hoje, mas o texto diz evento confirmado.</x:v>
      </x:c>
      <x:c r="K12" t="str">
        <x:v>src/pages/ChegadasSaidas.tsx; docs/modules/chegadas-saidas.md:196</x:v>
      </x:c>
      <x:c r="L12" t="str">
        <x:v>Texto de ajuda atribui semântica de confirmação a uma regra puramente temporal.</x:v>
      </x:c>
      <x:c r="M12" t="str">
        <x:v>A legenda agora descreve a regra temporal realmente aplicada.</x:v>
      </x:c>
      <x:c r="N12" t="str">
        <x:v>npx vitest run src/services/__tests__/uxCopyContracts.test.ts</x:v>
      </x:c>
      <x:c r="O12" t="str">
        <x:v>Passed</x:v>
      </x:c>
      <x:c r="P12" t="str">
        <x:v>src/components/portal/ShipScheduleWidget.tsx; teste de contrato de conteúdo</x:v>
      </x:c>
      <x:c r="Q12" t="str">
        <x:v>Focused automated regression passed; live database verification remains blocked.</x:v>
      </x:c>
    </x:row>
    <x:row r="13">
      <x:c r="A13" t="str">
        <x:v>DEF-012</x:v>
      </x:c>
      <x:c r="B13" t="str">
        <x:v>US-011</x:v>
      </x:c>
      <x:c r="C13" t="str">
        <x:v>Widget anuncia atualização diária às 09:00 sem scheduler correspondente</x:v>
      </x:c>
      <x:c r="D13" t="str">
        <x:v>UX / conteúdo</x:v>
      </x:c>
      <x:c r="E13" t="str">
        <x:v>Low</x:v>
      </x:c>
      <x:c r="F13" t="str">
        <x:v>Fixed</x:v>
      </x:c>
      <x:c r="G13" t="str">
        <x:v>Local focused test; live Supabase retest pending</x:v>
      </x:c>
      <x:c r="H13" t="str">
        <x:v>Abrir o widget de programação no Dashboard do Portal.</x:v>
      </x:c>
      <x:c r="I13" t="str">
        <x:v>O texto explica a atualização real por consulta e Realtime.</x:v>
      </x:c>
      <x:c r="J13" t="str">
        <x:v>A UI promete atualização diária às 09:00 sem orquestração equivalente no módulo.</x:v>
      </x:c>
      <x:c r="K13" t="str">
        <x:v>src/components/portal/ShipScheduleWidget.tsx; docs/modules/chegadas-saidas.md:197</x:v>
      </x:c>
      <x:c r="L13" t="str">
        <x:v>Texto histórico não acompanha o mecanismo atual de atualização.</x:v>
      </x:c>
      <x:c r="M13" t="str">
        <x:v>O texto passou a indicar atualização conforme dados publicados.</x:v>
      </x:c>
      <x:c r="N13" t="str">
        <x:v>npx vitest run src/services/__tests__/uxCopyContracts.test.ts</x:v>
      </x:c>
      <x:c r="O13" t="str">
        <x:v>Passed</x:v>
      </x:c>
      <x:c r="P13" t="str">
        <x:v>src/components/portal/ShipScheduleWidget.tsx; teste de contrato de conteúdo</x:v>
      </x:c>
      <x:c r="Q13" t="str">
        <x:v>Focused automated regression passed; live database verification remains blocked.</x:v>
      </x:c>
    </x:row>
    <x:row r="14">
      <x:c r="A14" t="str">
        <x:v>DEF-013</x:v>
      </x:c>
      <x:c r="B14" t="str">
        <x:v>US-008</x:v>
      </x:c>
      <x:c r="C14" t="str">
        <x:v>Importação de cronograma processa arquivo sem limite de upload</x:v>
      </x:c>
      <x:c r="D14" t="str">
        <x:v>UX / importação</x:v>
      </x:c>
      <x:c r="E14" t="str">
        <x:v>High</x:v>
      </x:c>
      <x:c r="F14" t="str">
        <x:v>Fixed</x:v>
      </x:c>
      <x:c r="G14" t="str">
        <x:v>Local focused test; live Supabase retest pending</x:v>
      </x:c>
      <x:c r="H14" t="str">
        <x:v>Selecionar arquivo grande no upload de /chegadas-saidas.</x:v>
      </x:c>
      <x:c r="I14" t="str">
        <x:v>O tamanho é validado antes de arrayBuffer/parsing e o usuário recebe erro claro.</x:v>
      </x:c>
      <x:c r="J14" t="str">
        <x:v>O arquivo é convertido e parseado sem assertUploadSize.</x:v>
      </x:c>
      <x:c r="K14" t="str">
        <x:v>src/pages/ChegadasSaidas.tsx; docs/modules/chegadas-saidas.md:195</x:v>
      </x:c>
      <x:c r="L14" t="str">
        <x:v>SpreadsheetUpload não reutiliza o guard canônico de arquivos.</x:v>
      </x:c>
      <x:c r="M14" t="str">
        <x:v>O tamanho é validado antes de arrayBuffer e parsing do workbook.</x:v>
      </x:c>
      <x:c r="N14" t="str">
        <x:v>npx vitest run src/services/__tests__/vesselScheduleImport.test.ts</x:v>
      </x:c>
      <x:c r="O14" t="str">
        <x:v>Passed</x:v>
      </x:c>
      <x:c r="P14" t="str">
        <x:v>src/pages/ChegadasSaidas.tsx; src/services/vesselScheduleImport.ts; teste focado</x:v>
      </x:c>
      <x:c r="Q14" t="str">
        <x:v>Focused automated regression passed; live database verification remains blocked.</x:v>
      </x:c>
    </x:row>
    <x:row r="15">
      <x:c r="A15" t="str">
        <x:v>DEF-014</x:v>
      </x:c>
      <x:c r="B15" t="str">
        <x:v>US-114</x:v>
      </x:c>
      <x:c r="C15" t="str">
        <x:v>Ações de importação Baplie aparecem para perfil que o banco rejeita</x:v>
      </x:c>
      <x:c r="D15" t="str">
        <x:v>UX / autorização</x:v>
      </x:c>
      <x:c r="E15" t="str">
        <x:v>Medium</x:v>
      </x:c>
      <x:c r="F15" t="str">
        <x:v>Fixed</x:v>
      </x:c>
      <x:c r="G15" t="str">
        <x:v>Local focused test; live Supabase retest pending</x:v>
      </x:c>
      <x:c r="H15" t="str">
        <x:v>Entrar como usuário interno não admin e abrir /baplie.</x:v>
      </x:c>
      <x:c r="I15" t="str">
        <x:v>Ações administrativas ficam ocultas/desabilitadas com explicação.</x:v>
      </x:c>
      <x:c r="J15" t="str">
        <x:v>A UI exibe import/reimport; a RPC exige admin e retorna 42501.</x:v>
      </x:c>
      <x:c r="K15" t="str">
        <x:v>src/pages/Baplie.tsx; supabase migration 20260612153000; docs/modules/manifesto-edi.md:193</x:v>
      </x:c>
      <x:c r="L15" t="str">
        <x:v>A visibilidade da ação não aplica a mesma regra de papel do contrato de persistência.</x:v>
      </x:c>
      <x:c r="M15" t="str">
        <x:v>Importar e reimportar Baplie agora aparecem somente para administradores, alinhados à RPC.</x:v>
      </x:c>
      <x:c r="N15" t="str">
        <x:v>npx vitest run src/services/__tests__/uxCopyContracts.test.ts</x:v>
      </x:c>
      <x:c r="O15" t="str">
        <x:v>Passed</x:v>
      </x:c>
      <x:c r="P15" t="str">
        <x:v>src/pages/Baplie.tsx; src/services/__tests__/uxCopyContracts.test.ts</x:v>
      </x:c>
      <x:c r="Q15" t="str">
        <x:v>Focused automated regression passed; live database verification remains blocked.</x:v>
      </x:c>
    </x:row>
    <x:row r="16">
      <x:c r="A16" t="str">
        <x:v>DEF-015</x:v>
      </x:c>
      <x:c r="B16" t="str">
        <x:v>US-084</x:v>
      </x:c>
      <x:c r="C16" t="str">
        <x:v>Cálculo de Granito tenta emitir invoice antes de promover o B/L</x:v>
      </x:c>
      <x:c r="D16" t="str">
        <x:v>Logística / faturamento</x:v>
      </x:c>
      <x:c r="E16" t="str">
        <x:v>Critical</x:v>
      </x:c>
      <x:c r="F16" t="str">
        <x:v>Fixed</x:v>
      </x:c>
      <x:c r="G16" t="str">
        <x:v>Local focused test; live Supabase retest pending</x:v>
      </x:c>
      <x:c r="H16" t="str">
        <x:v>Calcular taxas de um B/L Granito com cliente vinculado em /granito.</x:v>
      </x:c>
      <x:c r="I16" t="str">
        <x:v>O B/L é promovido para ready_for_billing antes da emissão ou permanece calculado para revisão.</x:v>
      </x:c>
      <x:c r="J16" t="str">
        <x:v>calculateGraniteBlCharges grava calculated e a página chama imediatamente a RPC que exige ready_for_billing.</x:v>
      </x:c>
      <x:c r="K16" t="str">
        <x:v>src/pages/Granite.tsx:135-151; src/services/graniteCharges.ts:90-93; supabase/migrations/20260528134131_fix_granite_invoice_cancel_reissue.sql</x:v>
      </x:c>
      <x:c r="L16" t="str">
        <x:v>A orquestração de cálculo e emissão ignora a transição de estado exigida pela RPC.</x:v>
      </x:c>
      <x:c r="M16" t="str">
        <x:v>Calcula, promove a ready_for_billing e somente então emite a invoice Granito.</x:v>
      </x:c>
      <x:c r="N16" t="str">
        <x:v>npx vitest run src/services/__tests__/graniteBillingWorkflow.test.ts</x:v>
      </x:c>
      <x:c r="O16" t="str">
        <x:v>Passed</x:v>
      </x:c>
      <x:c r="P16" t="str">
        <x:v>src/services/graniteBillingWorkflow.ts; src/pages/Granite.tsx; src/services/__tests__/graniteBillingWorkflow.test.ts</x:v>
      </x:c>
      <x:c r="Q16" t="str">
        <x:v>Focused automated regression passed; live database verification remains blocked.</x:v>
      </x:c>
    </x:row>
    <x:row r="17">
      <x:c r="A17" t="str">
        <x:v>DEF-016</x:v>
      </x:c>
      <x:c r="B17" t="str">
        <x:v>US-085</x:v>
      </x:c>
      <x:c r="C17" t="str">
        <x:v>Emissão manual de Granito chama a RPC de B/L local</x:v>
      </x:c>
      <x:c r="D17" t="str">
        <x:v>Logística / faturamento</x:v>
      </x:c>
      <x:c r="E17" t="str">
        <x:v>Critical</x:v>
      </x:c>
      <x:c r="F17" t="str">
        <x:v>Fixed</x:v>
      </x:c>
      <x:c r="G17" t="str">
        <x:v>Local focused test; live Supabase retest pending</x:v>
      </x:c>
      <x:c r="H17" t="str">
        <x:v>Na Validação, usar Emitir em uma linha cargo_mode=granito.</x:v>
      </x:c>
      <x:c r="I17" t="str">
        <x:v>A ação chama createInvoiceFromGraniteBls com IDs de granite_bls.</x:v>
      </x:c>
      <x:c r="J17" t="str">
        <x:v>handleIssueSingleInvoice chama createInvoiceFromBls/create_invoice_from_bls_with_ledger.</x:v>
      </x:c>
      <x:c r="K17" t="str">
        <x:v>src/components/billing/ValidacaoTab.tsx:273-291; src/services/billing.ts:653-687</x:v>
      </x:c>
      <x:c r="L17" t="str">
        <x:v>O handler não roteia a emissão conforme cargo_mode.</x:v>
      </x:c>
      <x:c r="M17" t="str">
        <x:v>Roteia a emissão individual pela origem cargo_mode.</x:v>
      </x:c>
      <x:c r="N17" t="str">
        <x:v>npx vitest run src/services/__tests__/graniteBillingWorkflow.test.ts</x:v>
      </x:c>
      <x:c r="O17" t="str">
        <x:v>Passed</x:v>
      </x:c>
      <x:c r="P17" t="str">
        <x:v>src/services/graniteBillingWorkflow.ts; src/components/billing/ValidacaoTab.tsx; src/services/__tests__/graniteBillingWorkflow.test.ts</x:v>
      </x:c>
      <x:c r="Q17" t="str">
        <x:v>Focused automated regression passed; live database verification remains blocked.</x:v>
      </x:c>
    </x:row>
    <x:row r="18">
      <x:c r="A18" t="str">
        <x:v>DEF-017</x:v>
      </x:c>
      <x:c r="B18" t="str">
        <x:v>US-087</x:v>
      </x:c>
      <x:c r="C18" t="str">
        <x:v>Revisão em lote de Granito reporta sucesso sem persistir alteração</x:v>
      </x:c>
      <x:c r="D18" t="str">
        <x:v>Logística / feedback falso</x:v>
      </x:c>
      <x:c r="E18" t="str">
        <x:v>High</x:v>
      </x:c>
      <x:c r="F18" t="str">
        <x:v>Fixed</x:v>
      </x:c>
      <x:c r="G18" t="str">
        <x:v>Local focused test; live Supabase retest pending</x:v>
      </x:c>
      <x:c r="H18" t="str">
        <x:v>Selecionar linhas Granito na Validação e executar a ação de revisão.</x:v>
      </x:c>
      <x:c r="I18" t="str">
        <x:v>Cada linha recebe a transição persistida ou uma mensagem de ação não suportada.</x:v>
      </x:c>
      <x:c r="J18" t="str">
        <x:v>runGraniteBatch retorna successCount para todos os IDs sem executar escrita.</x:v>
      </x:c>
      <x:c r="K18" t="str">
        <x:v>src/components/billing/ValidacaoTab.tsx:299-306</x:v>
      </x:c>
      <x:c r="L18" t="str">
        <x:v>O ramo review foi implementado como no-op contabilizado como sucesso.</x:v>
      </x:c>
      <x:c r="M18" t="str">
        <x:v>Ação sem transição equivalente agora retorna erro por B/L em vez de sucesso falso.</x:v>
      </x:c>
      <x:c r="N18" t="str">
        <x:v>npx vitest run src/services/__tests__/graniteBillingWorkflow.test.ts</x:v>
      </x:c>
      <x:c r="O18" t="str">
        <x:v>Passed</x:v>
      </x:c>
      <x:c r="P18" t="str">
        <x:v>src/services/graniteBillingWorkflow.ts; src/components/billing/ValidacaoTab.tsx; src/services/__tests__/graniteBillingWorkflow.test.ts</x:v>
      </x:c>
      <x:c r="Q18" t="str">
        <x:v>Focused automated regression passed; live database verification remains blocked.</x:v>
      </x:c>
    </x:row>
    <x:row r="19">
      <x:c r="A19" t="str">
        <x:v>DEF-018</x:v>
      </x:c>
      <x:c r="B19" t="str"/>
      <x:c r="C19" t="str">
        <x:v>Invalidações de Taxas Locais usam chaves que não alcançam queries ativas</x:v>
      </x:c>
      <x:c r="D19" t="str">
        <x:v>Logística / cache</x:v>
      </x:c>
      <x:c r="E19" t="str">
        <x:v>High</x:v>
      </x:c>
      <x:c r="F19" t="str">
        <x:v>Fixed</x:v>
      </x:c>
      <x:c r="G19" t="str">
        <x:v>Local focused test; live Supabase retest pending</x:v>
      </x:c>
      <x:c r="H19" t="str">
        <x:v>Editar tabela/override ou executar ação em lote com uma query filtrada ativa.</x:v>
      </x:c>
      <x:c r="I19" t="str">
        <x:v>As listas e detalhes afetados são invalidados por prefixo e refazem a leitura.</x:v>
      </x:c>
      <x:c r="J19" t="str">
        <x:v>Chaves base incluem undefined ou string vazia, impedindo prefix match contra filtros/IDs reais.</x:v>
      </x:c>
      <x:c r="K19" t="str">
        <x:v>src/services/queryKeys.ts; src/hooks/useLocalCharges.ts:179-218,278-293,310-371</x:v>
      </x:c>
      <x:c r="L19" t="str">
        <x:v>As factories tables/overrides/queue/detail não possuem forma de prefixo base, ao contrário de operations.</x:v>
      </x:c>
      <x:c r="M19" t="str">
        <x:v>Factories e mutations agora usam chaves-base verdadeiras para invalidação por prefixo.</x:v>
      </x:c>
      <x:c r="N19" t="str">
        <x:v>npx vitest run src/services/__tests__/queryKeysPrefix.test.ts</x:v>
      </x:c>
      <x:c r="O19" t="str">
        <x:v>Passed</x:v>
      </x:c>
      <x:c r="P19" t="str">
        <x:v>src/services/queryKeys.ts; src/hooks/useLocalCharges.ts; src/services/__tests__/queryKeysPrefix.test.ts</x:v>
      </x:c>
      <x:c r="Q19" t="str">
        <x:v>Focused automated regression passed; live database verification remains blocked.</x:v>
      </x:c>
    </x:row>
    <x:row r="20">
      <x:c r="A20" t="str">
        <x:v>DEF-019</x:v>
      </x:c>
      <x:c r="B20" t="str"/>
      <x:c r="C20" t="str">
        <x:v>Validação considera matched_name resolvido, mas o banco bloqueia faturamento</x:v>
      </x:c>
      <x:c r="D20" t="str">
        <x:v>Logística / gate</x:v>
      </x:c>
      <x:c r="E20" t="str">
        <x:v>High</x:v>
      </x:c>
      <x:c r="F20" t="str">
        <x:v>Fixed</x:v>
      </x:c>
      <x:c r="G20" t="str">
        <x:v>Local focused test; live Supabase retest pending</x:v>
      </x:c>
      <x:c r="H20" t="str">
        <x:v>Abrir uma linha com customer_reconciliation_status=matched_name na Validação.</x:v>
      </x:c>
      <x:c r="I20" t="str">
        <x:v>A UI apresenta o mesmo bloqueio exigido por mark_bl_ready_for_billing.</x:v>
      </x:c>
      <x:c r="J20" t="str">
        <x:v>isCustomerReconciliationResolved inclui matched_name; a RPC aceita somente matched_document ou reconciled.</x:v>
      </x:c>
      <x:c r="K20" t="str">
        <x:v>src/components/billing/ValidacaoTab.tsx:742-751; supabase/migrations/20260619130000_review_gate_hardening.sql:780</x:v>
      </x:c>
      <x:c r="L20" t="str">
        <x:v>A regra de elegibilidade foi duplicada e divergiu do contrato canônico do banco.</x:v>
      </x:c>
      <x:c r="M20" t="str">
        <x:v>A UI agora aceita somente matched_document e reconciled como estados resolvidos.</x:v>
      </x:c>
      <x:c r="N20" t="str">
        <x:v>npx vitest run src/services/__tests__/customerReconciliationStatus.test.ts</x:v>
      </x:c>
      <x:c r="O20" t="str">
        <x:v>Passed</x:v>
      </x:c>
      <x:c r="P20" t="str">
        <x:v>src/services/customerReconciliationStatus.ts; src/components/billing/ValidacaoTab.tsx; teste focado</x:v>
      </x:c>
      <x:c r="Q20" t="str">
        <x:v>Focused automated regression passed; live database verification remains blocked.</x:v>
      </x:c>
    </x:row>
    <x:row r="21">
      <x:c r="A21" t="str">
        <x:v>DEF-020</x:v>
      </x:c>
      <x:c r="B21" t="str">
        <x:v>US-115</x:v>
      </x:c>
      <x:c r="C21" t="str">
        <x:v>Aplicar decisão Baplie deixa telas dependentes com dados obsoletos</x:v>
      </x:c>
      <x:c r="D21" t="str">
        <x:v>Logística / cache</x:v>
      </x:c>
      <x:c r="E21" t="str">
        <x:v>High</x:v>
      </x:c>
      <x:c r="F21" t="str">
        <x:v>Fixed</x:v>
      </x:c>
      <x:c r="G21" t="str">
        <x:v>Local focused test; live Supabase retest pending</x:v>
      </x:c>
      <x:c r="H21" t="str">
        <x:v>Aceitar um valor Baplie e navegar para Containers, detalhe do B/L ou Viagens.</x:v>
      </x:c>
      <x:c r="I21" t="str">
        <x:v>Todas as queries que exibem o container alterado são invalidadas.</x:v>
      </x:c>
      <x:c r="J21" t="str">
        <x:v>A página invalida apenas baplie-reconciliation da viagem.</x:v>
      </x:c>
      <x:c r="K21" t="str">
        <x:v>src/pages/Baplie.tsx:410-467; docs/modules/manifesto-edi.md:192</x:v>
      </x:c>
      <x:c r="L21" t="str">
        <x:v>A mutation não centraliza o conjunto de caches consumidores do container.</x:v>
      </x:c>
      <x:c r="M21" t="str">
        <x:v>A decisão aguarda invalidação da reconciliação, B/Ls, detalhes, viagens e timeline da viagem.</x:v>
      </x:c>
      <x:c r="N21" t="str">
        <x:v>npx vitest run src/services/__tests__/baplieInvalidation.test.ts</x:v>
      </x:c>
      <x:c r="O21" t="str">
        <x:v>Passed</x:v>
      </x:c>
      <x:c r="P21" t="str">
        <x:v>src/pages/Baplie.tsx; src/services/baplieInvalidation.ts; teste focado</x:v>
      </x:c>
      <x:c r="Q21" t="str">
        <x:v>Focused automated regression passed; live database verification remains blocked.</x:v>
      </x:c>
    </x:row>
    <x:row r="22">
      <x:c r="A22" t="str">
        <x:v>DEF-021</x:v>
      </x:c>
      <x:c r="B22" t="str">
        <x:v>US-191</x:v>
      </x:c>
      <x:c r="C22" t="str">
        <x:v>Estorno local fecha o detalhe sem atualizar caches financeiros</x:v>
      </x:c>
      <x:c r="D22" t="str">
        <x:v>UX / cache</x:v>
      </x:c>
      <x:c r="E22" t="str">
        <x:v>High</x:v>
      </x:c>
      <x:c r="F22" t="str">
        <x:v>Fixed</x:v>
      </x:c>
      <x:c r="G22" t="str">
        <x:v>Local focused test; live Supabase retest pending</x:v>
      </x:c>
      <x:c r="H22" t="str">
        <x:v>Cancelar uma baixa local pelo detalhe aberto no histórico de conciliação.</x:v>
      </x:c>
      <x:c r="I22" t="str">
        <x:v>Histórico, invoice, ledger e B/L refletem imediatamente o novo estado.</x:v>
      </x:c>
      <x:c r="J22" t="str">
        <x:v>InvoiceDetailModal fecha após reverseLocalInvoicePayment sem invalidar queries.</x:v>
      </x:c>
      <x:c r="K22" t="str">
        <x:v>src/components/billing/InvoiceDetailModal.tsx:211-227</x:v>
      </x:c>
      <x:c r="L22" t="str">
        <x:v>O fluxo de estorno local não possui callback de invalidação após sucesso.</x:v>
      </x:c>
      <x:c r="M22" t="str">
        <x:v>A reversão local invalida todos os consumidores financeiros e o histórico antes de fechar.</x:v>
      </x:c>
      <x:c r="N22" t="str">
        <x:v>npx vitest run src/hooks/__tests__/billingLedgerInvalidation.test.ts</x:v>
      </x:c>
      <x:c r="O22" t="str">
        <x:v>Passed</x:v>
      </x:c>
      <x:c r="P22" t="str">
        <x:v>src/hooks/useBillingLedger.ts; src/components/billing/InvoiceDetailModal.tsx; src/hooks/__tests__/billingLedgerInvalidation.test.ts</x:v>
      </x:c>
      <x:c r="Q22" t="str">
        <x:v>Focused automated regression passed; live database verification remains blocked.</x:v>
      </x:c>
    </x:row>
    <x:row r="23">
      <x:c r="A23" t="str">
        <x:v>DEF-022</x:v>
      </x:c>
      <x:c r="B23" t="str">
        <x:v>US-191</x:v>
      </x:c>
      <x:c r="C23" t="str">
        <x:v>Estorno de Demurrage mantém flag de conciliação por extrato</x:v>
      </x:c>
      <x:c r="D23" t="str">
        <x:v>Logística / estado financeiro</x:v>
      </x:c>
      <x:c r="E23" t="str">
        <x:v>High</x:v>
      </x:c>
      <x:c r="F23" t="str">
        <x:v>Fixed</x:v>
      </x:c>
      <x:c r="G23" t="str">
        <x:v>Local focused test; live Supabase retest pending</x:v>
      </x:c>
      <x:c r="H23" t="str">
        <x:v>Estornar uma demurrage paga por conciliação PIX.</x:v>
      </x:c>
      <x:c r="I23" t="str">
        <x:v>status, paid_at, pix_txid e conciliated_by_extract retornam ao estado não conciliado.</x:v>
      </x:c>
      <x:c r="J23" t="str">
        <x:v>A RPC limpa status, paid_at e pix_txid, mas não redefine conciliated_by_extract.</x:v>
      </x:c>
      <x:c r="K23" t="str">
        <x:v>supabase/migrations/20260614180000_require_justification_on_payment_reversal.sql:238-247</x:v>
      </x:c>
      <x:c r="L23" t="str">
        <x:v>A atualização de reversão omite um campo derivado do pagamento revertido.</x:v>
      </x:c>
      <x:c r="M23" t="str">
        <x:v>A reversão limpa conciliated_by_extract, paid_at e pix_txid.</x:v>
      </x:c>
      <x:c r="N23" t="str">
        <x:v>npx vitest run src/services/__tests__/reversalJustificationMigration.test.ts</x:v>
      </x:c>
      <x:c r="O23" t="str">
        <x:v>Passed</x:v>
      </x:c>
      <x:c r="P23" t="str">
        <x:v>supabase/migrations/20260622132451_clear_demurrage_extract_flag_on_reversal.sql; src/services/__tests__/reversalJustificationMigration.test.ts</x:v>
      </x:c>
      <x:c r="Q23" t="str">
        <x:v>Focused automated regression passed; live database verification remains blocked.</x:v>
      </x:c>
    </x:row>
    <x:row r="24">
      <x:c r="A24" t="str">
        <x:v>DEF-023</x:v>
      </x:c>
      <x:c r="B24" t="str">
        <x:v>US-022</x:v>
      </x:c>
      <x:c r="C24" t="str">
        <x:v>Edição de cliente pode persistir sem a auditoria obrigatória</x:v>
      </x:c>
      <x:c r="D24" t="str">
        <x:v>Logística / auditoria</x:v>
      </x:c>
      <x:c r="E24" t="str">
        <x:v>High</x:v>
      </x:c>
      <x:c r="F24" t="str">
        <x:v>Fixed</x:v>
      </x:c>
      <x:c r="G24" t="str">
        <x:v>Local focused test; live Supabase retest pending</x:v>
      </x:c>
      <x:c r="H24" t="str">
        <x:v>Fazer o insert em audit_logs falhar após o update do cliente.</x:v>
      </x:c>
      <x:c r="I24" t="str">
        <x:v>Cadastro e auditoria são confirmados ou revertidos juntos.</x:v>
      </x:c>
      <x:c r="J24" t="str">
        <x:v>updateCustomerWithAudit atualiza customers antes do insert separado em audit_logs.</x:v>
      </x:c>
      <x:c r="K24" t="str">
        <x:v>src/services/customers.ts:76-112</x:v>
      </x:c>
      <x:c r="L24" t="str">
        <x:v>A operação multi-escrita não usa uma RPC transacional.</x:v>
      </x:c>
      <x:c r="M24" t="str">
        <x:v>A edição do mestre e os eventos por campo agora são gravados por uma única RPC transacional.</x:v>
      </x:c>
      <x:c r="N24" t="str">
        <x:v>npx vitest run src/services/__tests__/customerUpdateAuditAtomic.test.ts</x:v>
      </x:c>
      <x:c r="O24" t="str">
        <x:v>Passed</x:v>
      </x:c>
      <x:c r="P24" t="str">
        <x:v>src/services/customers.ts; src/types/database.ts; supabase/migrations/20260622173159_atomic_customer_update_audit.sql; teste focado</x:v>
      </x:c>
      <x:c r="Q24" t="str">
        <x:v>Focused automated regression passed; live database verification remains blocked.</x:v>
      </x:c>
    </x:row>
    <x:row r="25">
      <x:c r="A25" t="str">
        <x:v>DEF-024</x:v>
      </x:c>
      <x:c r="B25" t="str">
        <x:v>US-044</x:v>
      </x:c>
      <x:c r="C25" t="str">
        <x:v>Desmarcar pagamento em Demurrage contorna o fluxo auditado de reversão</x:v>
      </x:c>
      <x:c r="D25" t="str">
        <x:v>Logística / autorização</x:v>
      </x:c>
      <x:c r="E25" t="str">
        <x:v>Critical</x:v>
      </x:c>
      <x:c r="F25" t="str">
        <x:v>Fixed</x:v>
      </x:c>
      <x:c r="G25" t="str">
        <x:v>Local focused test; live Supabase retest pending</x:v>
      </x:c>
      <x:c r="H25" t="str">
        <x:v>Em /demurrage &gt; Pagas, usar Desmarcar.</x:v>
      </x:c>
      <x:c r="I25" t="str">
        <x:v>Reversão exige admin, justificativa e auditoria, como em /reconciliacao.</x:v>
      </x:c>
      <x:c r="J25" t="str">
        <x:v>unmarkInvoicePaid faz UPDATE direto sem justificativa e sem limpar pix_txid/conciliated_by_extract.</x:v>
      </x:c>
      <x:c r="K25" t="str">
        <x:v>src/pages/Demurrage.tsx:273-312,636-640; src/services/demurrage/demurrageInvoices.ts:240-245</x:v>
      </x:c>
      <x:c r="L25" t="str">
        <x:v>Existem dois autores de reversão com contratos de segurança e estado diferentes.</x:v>
      </x:c>
      <x:c r="M25" t="str">
        <x:v>A tela exige justificativa e usa reverse_demurrage_payment.</x:v>
      </x:c>
      <x:c r="N25" t="str">
        <x:v>npx vitest run src/components/demurrage/__tests__/DemurragePaymentReversalModal.test.tsx src/services/__tests__/reconciliacao.test.ts</x:v>
      </x:c>
      <x:c r="O25" t="str">
        <x:v>Passed</x:v>
      </x:c>
      <x:c r="P25" t="str">
        <x:v>src/pages/Demurrage.tsx; src/components/demurrage/DemurragePaymentReversalModal.tsx; teste do modal</x:v>
      </x:c>
      <x:c r="Q25" t="str">
        <x:v>Focused automated regression passed; live database verification remains blocked.</x:v>
      </x:c>
    </x:row>
    <x:row r="26">
      <x:c r="A26" t="str">
        <x:v>DEF-025</x:v>
      </x:c>
      <x:c r="B26" t="str"/>
      <x:c r="C26" t="str">
        <x:v>Edição geral de datas de container não gera histórico equivalente</x:v>
      </x:c>
      <x:c r="D26" t="str">
        <x:v>Logística / auditoria</x:v>
      </x:c>
      <x:c r="E26" t="str">
        <x:v>Medium</x:v>
      </x:c>
      <x:c r="F26" t="str">
        <x:v>Fixed</x:v>
      </x:c>
      <x:c r="G26" t="str">
        <x:v>Local focused test; live Supabase retest pending</x:v>
      </x:c>
      <x:c r="H26" t="str">
        <x:v>Editar descarga/devolução pelo modal geral de Demurrage.</x:v>
      </x:c>
      <x:c r="I26" t="str">
        <x:v>A alteração aparece no Histórico do B/L como a edição pela aba do B/L.</x:v>
      </x:c>
      <x:c r="J26" t="str">
        <x:v>updateContainerDates atualiza bl_containers sem inserir audit_logs.</x:v>
      </x:c>
      <x:c r="K26" t="str">
        <x:v>src/pages/Demurrage.tsx:220-228; src/services/demurrage/demurrageContainers.ts:62-84</x:v>
      </x:c>
      <x:c r="L26" t="str">
        <x:v>Os dois pontos de edição chamam serviços com contratos de auditoria diferentes.</x:v>
      </x:c>
      <x:c r="M26" t="str">
        <x:v>Descarga, devolução e status passam por RPC única com auditoria na mesma transação.</x:v>
      </x:c>
      <x:c r="N26" t="str">
        <x:v>npx vitest run src/services/demurrage/__tests__/updateContainerReturnDate.audit.test.ts src/services/__tests__/containerDateAuditMigration.test.ts</x:v>
      </x:c>
      <x:c r="O26" t="str">
        <x:v>Passed</x:v>
      </x:c>
      <x:c r="P26" t="str">
        <x:v>src/services/demurrage/demurrageContainers.ts; supabase/migrations/20260622180300_audit_container_dates_and_propagate_ata.sql</x:v>
      </x:c>
      <x:c r="Q26" t="str">
        <x:v>Focused automated regression passed; live database verification remains blocked.</x:v>
      </x:c>
    </x:row>
    <x:row r="27">
      <x:c r="A27" t="str">
        <x:v>DEF-026</x:v>
      </x:c>
      <x:c r="B27" t="str">
        <x:v>US-038</x:v>
      </x:c>
      <x:c r="C27" t="str">
        <x:v>Criação de invoice de Demurrage pode deixar cabeçalho sem itens</x:v>
      </x:c>
      <x:c r="D27" t="str">
        <x:v>Logística / atomicidade</x:v>
      </x:c>
      <x:c r="E27" t="str">
        <x:v>Critical</x:v>
      </x:c>
      <x:c r="F27" t="str">
        <x:v>Fixed</x:v>
      </x:c>
      <x:c r="G27" t="str">
        <x:v>Local focused test; live Supabase retest pending</x:v>
      </x:c>
      <x:c r="H27" t="str">
        <x:v>Fazer o insert de demurrage_invoice_items falhar após criar o cabeçalho.</x:v>
      </x:c>
      <x:c r="I27" t="str">
        <x:v>Cabeçalho e itens são criados na mesma transação.</x:v>
      </x:c>
      <x:c r="J27" t="str">
        <x:v>createInvoiceForBL e createInvoiceForReturnedBL fazem inserts separados.</x:v>
      </x:c>
      <x:c r="K27" t="str">
        <x:v>src/services/demurrage/demurrageInvoices.ts:40-95,98-159</x:v>
      </x:c>
      <x:c r="L27" t="str">
        <x:v>A criação financeira multi-tabela é orquestrada no cliente sem RPC transacional.</x:v>
      </x:c>
      <x:c r="M27" t="str">
        <x:v>Cabeçalho e itens passaram para uma única RPC transacional.</x:v>
      </x:c>
      <x:c r="N27" t="str">
        <x:v>npx vitest run src/services/demurrage/__tests__/createDemurrageInvoiceAtomic.test.ts src/services/__tests__/createDemurrageInvoiceMigration.test.ts</x:v>
      </x:c>
      <x:c r="O27" t="str">
        <x:v>Passed</x:v>
      </x:c>
      <x:c r="P27" t="str">
        <x:v>src/services/demurrage/demurrageInvoices.ts; supabase/migrations/20260622132732_create_demurrage_invoice_atomic.sql; testes focados</x:v>
      </x:c>
      <x:c r="Q27" t="str">
        <x:v>Focused automated regression passed; live database verification remains blocked.</x:v>
      </x:c>
    </x:row>
    <x:row r="28">
      <x:c r="A28" t="str">
        <x:v>DEF-027</x:v>
      </x:c>
      <x:c r="B28" t="str">
        <x:v>US-032</x:v>
      </x:c>
      <x:c r="C28" t="str">
        <x:v>Emissão automática pode registrar origem incorreta do ROE</x:v>
      </x:c>
      <x:c r="D28" t="str">
        <x:v>Logística / metadado financeiro</x:v>
      </x:c>
      <x:c r="E28" t="str">
        <x:v>Medium</x:v>
      </x:c>
      <x:c r="F28" t="str">
        <x:v>Fixed</x:v>
      </x:c>
      <x:c r="G28" t="str">
        <x:v>Local focused test; live Supabase retest pending</x:v>
      </x:c>
      <x:c r="H28" t="str">
        <x:v>Importar datas quando fetchROE devolve cotação de cache.</x:v>
      </x:c>
      <x:c r="I28" t="str">
        <x:v>roe_source persiste a origem retornada por fetchROE.</x:v>
      </x:c>
      <x:c r="J28" t="str">
        <x:v>containerDatesImport descarta source e issueInvoice usa o default bcb_live.</x:v>
      </x:c>
      <x:c r="K28" t="str">
        <x:v>src/services/containerDatesImport.ts:129-134; src/services/demurrage/demurrageInvoices.ts:162-185</x:v>
      </x:c>
      <x:c r="L28" t="str">
        <x:v>A origem da cotação é perdida entre obtenção e emissão.</x:v>
      </x:c>
      <x:c r="M28" t="str">
        <x:v>O importador repassa source de fetchROE para issueInvoice.</x:v>
      </x:c>
      <x:c r="N28" t="str">
        <x:v>npx vitest run src/services/__tests__/containerDatesImport.test.ts</x:v>
      </x:c>
      <x:c r="O28" t="str">
        <x:v>Passed</x:v>
      </x:c>
      <x:c r="P28" t="str">
        <x:v>src/services/containerDatesImport.ts; src/services/__tests__/containerDatesImport.test.ts</x:v>
      </x:c>
      <x:c r="Q28" t="str">
        <x:v>Focused automated regression passed; live database verification remains blocked.</x:v>
      </x:c>
    </x:row>
    <x:row r="29">
      <x:c r="A29" t="str">
        <x:v>DEF-028</x:v>
      </x:c>
      <x:c r="B29" t="str"/>
      <x:c r="C29" t="str">
        <x:v>Cabeçalho de Relatórios anuncia limite que não vale para todas as abas</x:v>
      </x:c>
      <x:c r="D29" t="str">
        <x:v>UX / conteúdo</x:v>
      </x:c>
      <x:c r="E29" t="str">
        <x:v>Low</x:v>
      </x:c>
      <x:c r="F29" t="str">
        <x:v>Fixed</x:v>
      </x:c>
      <x:c r="G29" t="str">
        <x:v>Local focused test; live Supabase retest pending</x:v>
      </x:c>
      <x:c r="H29" t="str">
        <x:v>Abrir /relatorios e comparar a descrição com consultas/exportações.</x:v>
      </x:c>
      <x:c r="I29" t="str">
        <x:v>A ajuda descreve limites reais por visualização ou usa texto neutro.</x:v>
      </x:c>
      <x:c r="J29" t="str">
        <x:v>A página diz 2.000 linhas por consulta; clientes usa 4.000 por fonte, exports não limitam e demurrage não define o mesmo teto.</x:v>
      </x:c>
      <x:c r="K29" t="str">
        <x:v>src/pages/Relatorios.tsx:31-35; src/services/reports.ts</x:v>
      </x:c>
      <x:c r="L29" t="str">
        <x:v>Uma regra específica das listas operacional/financeira foi apresentada como regra global.</x:v>
      </x:c>
      <x:c r="M29" t="str">
        <x:v>O cabeçalho usa texto neutro; limites específicos permanecem nas visões aplicáveis.</x:v>
      </x:c>
      <x:c r="N29" t="str">
        <x:v>npx vitest run src/services/__tests__/uxCopyContracts.test.ts</x:v>
      </x:c>
      <x:c r="O29" t="str">
        <x:v>Passed</x:v>
      </x:c>
      <x:c r="P29" t="str">
        <x:v>src/pages/Relatorios.tsx; teste de contrato de conteúdo</x:v>
      </x:c>
      <x:c r="Q29" t="str">
        <x:v>Focused automated regression passed; live database verification remains blocked.</x:v>
      </x:c>
    </x:row>
    <x:row r="30">
      <x:c r="A30" t="str">
        <x:v>DEF-029</x:v>
      </x:c>
      <x:c r="B30" t="str">
        <x:v>US-019</x:v>
      </x:c>
      <x:c r="C30" t="str">
        <x:v>Exportação de clientes não espelha filtros, ordenação e emails da tela</x:v>
      </x:c>
      <x:c r="D30" t="str">
        <x:v>UX / exportação</x:v>
      </x:c>
      <x:c r="E30" t="str">
        <x:v>High</x:v>
      </x:c>
      <x:c r="F30" t="str">
        <x:v>Fixed</x:v>
      </x:c>
      <x:c r="G30" t="str">
        <x:v>Local focused test; live Supabase retest pending</x:v>
      </x:c>
      <x:c r="H30" t="str">
        <x:v>Aplicar busca por documento formatado, ordenação ou filtro de email e exportar a base.</x:v>
      </x:c>
      <x:c r="I30" t="str">
        <x:v>O arquivo reproduz integralmente o conjunto e ordem visíveis e inclui o email cadastrado.</x:v>
      </x:c>
      <x:c r="J30" t="str">
        <x:v>A query de export omite a cláusula de documento normalizado, não reaplica sortCustomerRows e grava Email vazio.</x:v>
      </x:c>
      <x:c r="K30" t="str">
        <x:v>src/pages/Clientes.tsx:285-309; src/hooks/useCustomers.ts:112-127; src/services/exports.ts:289-300</x:v>
      </x:c>
      <x:c r="L30" t="str">
        <x:v>A exportação reimplementa parcialmente a consulta da tela e o mapper descarta customer_contacts.</x:v>
      </x:c>
      <x:c r="M30" t="str">
        <x:v>Tela e exportação reutilizam a mesma consulta e o XLSX inclui o contato principal.</x:v>
      </x:c>
      <x:c r="N30" t="str">
        <x:v>npx vitest run src/services/__tests__/exports.test.ts</x:v>
      </x:c>
      <x:c r="O30" t="str">
        <x:v>Passed</x:v>
      </x:c>
      <x:c r="P30" t="str">
        <x:v>src/pages/Clientes.tsx; src/hooks/useCustomers.ts; src/services/exports.ts; src/services/__tests__/exports.test.ts</x:v>
      </x:c>
      <x:c r="Q30" t="str">
        <x:v>Focused automated regression passed; live database verification remains blocked.</x:v>
      </x:c>
    </x:row>
    <x:row r="31">
      <x:c r="A31" t="str">
        <x:v>DEF-030</x:v>
      </x:c>
      <x:c r="B31" t="str">
        <x:v>US-198</x:v>
      </x:c>
      <x:c r="C31" t="str">
        <x:v>Filtros de overrides são aplicados somente após um lote limitado</x:v>
      </x:c>
      <x:c r="D31" t="str">
        <x:v>Logística / busca</x:v>
      </x:c>
      <x:c r="E31" t="str">
        <x:v>Medium</x:v>
      </x:c>
      <x:c r="F31" t="str">
        <x:v>Fixed</x:v>
      </x:c>
      <x:c r="G31" t="str">
        <x:v>Local focused test; live Supabase retest pending</x:v>
      </x:c>
      <x:c r="H31" t="str">
        <x:v>Buscar override que esteja fora dos 200 registros mais recentes.</x:v>
      </x:c>
      <x:c r="I31" t="str">
        <x:v>O filtro consulta todo o conjunto elegível ou pagina no servidor.</x:v>
      </x:c>
      <x:c r="J31" t="str">
        <x:v>listCustomerRateOverrides limita 20-500 linhas antes de filtrar cliente, modo e POD no cliente.</x:v>
      </x:c>
      <x:c r="K31" t="str">
        <x:v>src/services/charges/chargeRateService.ts:61-129</x:v>
      </x:c>
      <x:c r="L31" t="str">
        <x:v>A ordem limite-antes-do-filtro torna resultados dependentes da posição no lote.</x:v>
      </x:c>
      <x:c r="M31" t="str">
        <x:v>A consulta pagina a fonte e aplica filtros antes de limitar a visão resultante.</x:v>
      </x:c>
      <x:c r="N31" t="str">
        <x:v>npx vitest run src/services/__tests__/chargeRateService.test.ts</x:v>
      </x:c>
      <x:c r="O31" t="str">
        <x:v>Passed</x:v>
      </x:c>
      <x:c r="P31" t="str">
        <x:v>src/services/charges/chargeRateService.ts; src/services/__tests__/chargeRateService.test.ts</x:v>
      </x:c>
      <x:c r="Q31" t="str">
        <x:v>Focused automated regression passed; live database verification remains blocked.</x:v>
      </x:c>
    </x:row>
    <x:row r="32">
      <x:c r="A32" t="str">
        <x:v>DEF-031</x:v>
      </x:c>
      <x:c r="B32" t="str">
        <x:v>US-005</x:v>
      </x:c>
      <x:c r="C32" t="str">
        <x:v>Encerrar navio pode duplicar ativo e histórico</x:v>
      </x:c>
      <x:c r="D32" t="str">
        <x:v>Logística / atomicidade</x:v>
      </x:c>
      <x:c r="E32" t="str">
        <x:v>High</x:v>
      </x:c>
      <x:c r="F32" t="str">
        <x:v>Fixed</x:v>
      </x:c>
      <x:c r="G32" t="str">
        <x:v>Local focused test; live Supabase retest pending</x:v>
      </x:c>
      <x:c r="H32" t="str">
        <x:v>Fazer o delete do ativo falhar após o insert em ended_vessels.</x:v>
      </x:c>
      <x:c r="I32" t="str">
        <x:v>Arquivamento e remoção são uma única transação.</x:v>
      </x:c>
      <x:c r="J32" t="str">
        <x:v>handleEnd insere o snapshot e depois executa delete separado.</x:v>
      </x:c>
      <x:c r="K32" t="str">
        <x:v>src/pages/ChegadasSaidas.tsx:314-327</x:v>
      </x:c>
      <x:c r="L32" t="str">
        <x:v>A transição de ciclo de vida é orquestrada por duas chamadas independentes no cliente.</x:v>
      </x:c>
      <x:c r="M32" t="str">
        <x:v>Snapshot e remoção do ativo agora ocorrem em uma RPC transacional com lock.</x:v>
      </x:c>
      <x:c r="N32" t="str">
        <x:v>npx vitest run src/services/__tests__/vesselScheduleAdmin.test.ts</x:v>
      </x:c>
      <x:c r="O32" t="str">
        <x:v>Passed</x:v>
      </x:c>
      <x:c r="P32" t="str">
        <x:v>src/services/vesselScheduleAdmin.ts; src/pages/ChegadasSaidas.tsx; supabase/migrations/20260622174608_atomic_vessel_schedule_operations.sql</x:v>
      </x:c>
      <x:c r="Q32" t="str">
        <x:v>Focused automated regression passed; live database verification remains blocked.</x:v>
      </x:c>
    </x:row>
    <x:row r="33">
      <x:c r="A33" t="str">
        <x:v>DEF-032</x:v>
      </x:c>
      <x:c r="B33" t="str">
        <x:v>US-004</x:v>
      </x:c>
      <x:c r="C33" t="str">
        <x:v>Reordenação de navios pode persistir apenas parte da ordem</x:v>
      </x:c>
      <x:c r="D33" t="str">
        <x:v>Logística / atomicidade</x:v>
      </x:c>
      <x:c r="E33" t="str">
        <x:v>Medium</x:v>
      </x:c>
      <x:c r="F33" t="str">
        <x:v>Fixed</x:v>
      </x:c>
      <x:c r="G33" t="str">
        <x:v>Local focused test; live Supabase retest pending</x:v>
      </x:c>
      <x:c r="H33" t="str">
        <x:v>Fazer um dos updates de display_order falhar durante a reordenação.</x:v>
      </x:c>
      <x:c r="I33" t="str">
        <x:v>A sequência inteira é aplicada ou nenhuma posição muda.</x:v>
      </x:c>
      <x:c r="J33" t="str">
        <x:v>moveVessel envia um update por linha em Promise.all sem rollback.</x:v>
      </x:c>
      <x:c r="K33" t="str">
        <x:v>src/pages/ChegadasSaidas.tsx:303-312</x:v>
      </x:c>
      <x:c r="L33" t="str">
        <x:v>Não existe operação transacional para reordenar a lista.</x:v>
      </x:c>
      <x:c r="M33" t="str">
        <x:v>Toda a ordem é validada, bloqueada e persistida por uma única RPC.</x:v>
      </x:c>
      <x:c r="N33" t="str">
        <x:v>npx vitest run src/services/__tests__/vesselScheduleAdmin.test.ts</x:v>
      </x:c>
      <x:c r="O33" t="str">
        <x:v>Passed</x:v>
      </x:c>
      <x:c r="P33" t="str">
        <x:v>src/services/vesselScheduleAdmin.ts; src/pages/ChegadasSaidas.tsx; supabase/migrations/20260622174608_atomic_vessel_schedule_operations.sql</x:v>
      </x:c>
      <x:c r="Q33" t="str">
        <x:v>Focused automated regression passed; live database verification remains blocked.</x:v>
      </x:c>
    </x:row>
    <x:row r="34">
      <x:c r="A34" t="str">
        <x:v>DEF-033</x:v>
      </x:c>
      <x:c r="B34" t="str">
        <x:v>US-007</x:v>
      </x:c>
      <x:c r="C34" t="str">
        <x:v>Download do modelo de navios ignora falha da consulta</x:v>
      </x:c>
      <x:c r="D34" t="str">
        <x:v>UX / feedback</x:v>
      </x:c>
      <x:c r="E34" t="str">
        <x:v>Medium</x:v>
      </x:c>
      <x:c r="F34" t="str">
        <x:v>Fixed</x:v>
      </x:c>
      <x:c r="G34" t="str">
        <x:v>Local focused test; live Supabase retest pending</x:v>
      </x:c>
      <x:c r="H34" t="str">
        <x:v>Fazer a leitura de vessel_schedules falhar e clicar Baixar Planilha Modelo.</x:v>
      </x:c>
      <x:c r="I34" t="str">
        <x:v>O usuário recebe erro e nenhum arquivo incompleto é apresentado como válido.</x:v>
      </x:c>
      <x:c r="J34" t="str">
        <x:v>downloadTemplate ignora error e gera planilha apenas com a linha de exemplo.</x:v>
      </x:c>
      <x:c r="K34" t="str">
        <x:v>src/pages/ChegadasSaidas.tsx:150-174</x:v>
      </x:c>
      <x:c r="L34" t="str">
        <x:v>O retorno da consulta é desestruturado somente como data.</x:v>
      </x:c>
      <x:c r="M34" t="str">
        <x:v>Falha ao ler navios interrompe a geração e exibe mensagem distinta.</x:v>
      </x:c>
      <x:c r="N34" t="str">
        <x:v>npx vitest run src/services/__tests__/uxCopyContracts.test.ts</x:v>
      </x:c>
      <x:c r="O34" t="str">
        <x:v>Passed</x:v>
      </x:c>
      <x:c r="P34" t="str">
        <x:v>src/pages/ChegadasSaidas.tsx; teste de contrato de conteúdo</x:v>
      </x:c>
      <x:c r="Q34" t="str">
        <x:v>Focused automated regression passed; live database verification remains blocked.</x:v>
      </x:c>
    </x:row>
    <x:row r="35">
      <x:c r="A35" t="str">
        <x:v>DEF-034</x:v>
      </x:c>
      <x:c r="B35" t="str">
        <x:v>US-009</x:v>
      </x:c>
      <x:c r="C35" t="str">
        <x:v>Exportação de encerrados trata erro de consulta como lista vazia</x:v>
      </x:c>
      <x:c r="D35" t="str">
        <x:v>UX / feedback</x:v>
      </x:c>
      <x:c r="E35" t="str">
        <x:v>Medium</x:v>
      </x:c>
      <x:c r="F35" t="str">
        <x:v>Fixed</x:v>
      </x:c>
      <x:c r="G35" t="str">
        <x:v>Local focused test; live Supabase retest pending</x:v>
      </x:c>
      <x:c r="H35" t="str">
        <x:v>Fazer a leitura de ended_vessels falhar e clicar Exportar Encerrados.</x:v>
      </x:c>
      <x:c r="I35" t="str">
        <x:v>A UI distingue indisponibilidade de ausência de navios encerrados.</x:v>
      </x:c>
      <x:c r="J35" t="str">
        <x:v>downloadEnded ignora error e exibe Nenhum navio encerrado.</x:v>
      </x:c>
      <x:c r="K35" t="str">
        <x:v>src/pages/ChegadasSaidas.tsx:337-353</x:v>
      </x:c>
      <x:c r="L35" t="str">
        <x:v>O fluxo não inspeciona o erro retornado pelo Supabase.</x:v>
      </x:c>
      <x:c r="M35" t="str">
        <x:v>Falha de leitura e ausência de encerrados agora têm feedbacks distintos.</x:v>
      </x:c>
      <x:c r="N35" t="str">
        <x:v>npx vitest run src/services/__tests__/uxCopyContracts.test.ts</x:v>
      </x:c>
      <x:c r="O35" t="str">
        <x:v>Passed</x:v>
      </x:c>
      <x:c r="P35" t="str">
        <x:v>src/pages/ChegadasSaidas.tsx; teste de contrato de conteúdo</x:v>
      </x:c>
      <x:c r="Q35" t="str">
        <x:v>Focused automated regression passed; live database verification remains blocked.</x:v>
      </x:c>
    </x:row>
    <x:row r="36">
      <x:c r="A36" t="str">
        <x:v>DEF-035</x:v>
      </x:c>
      <x:c r="B36" t="str">
        <x:v>US-083</x:v>
      </x:c>
      <x:c r="C36" t="str">
        <x:v>Lista e detalhe genéricos de invoices perdem vínculo operacional do Granito</x:v>
      </x:c>
      <x:c r="D36" t="str">
        <x:v>UX / rastreabilidade</x:v>
      </x:c>
      <x:c r="E36" t="str">
        <x:v>High</x:v>
      </x:c>
      <x:c r="F36" t="str">
        <x:v>Fixed</x:v>
      </x:c>
      <x:c r="G36" t="str">
        <x:v>Local focused test; live Supabase retest pending</x:v>
      </x:c>
      <x:c r="H36" t="str">
        <x:v>Emitir uma invoice Granito e abri-la em Faturamento.</x:v>
      </x:c>
      <x:c r="I36" t="str">
        <x:v>A lista e o detalhe mostram B/L, porto, viagem e navio do vínculo invoice_granite_bls.</x:v>
      </x:c>
      <x:c r="J36" t="str">
        <x:v>Os leitores genéricos consultam invoice_bls/receivable_links e list_invoice_details não agrega invoice_granite_bls.</x:v>
      </x:c>
      <x:c r="K36" t="str">
        <x:v>src/services/billing.ts:39-70,141-166,319-331,452-481; docs/modules/granito.md:218-225</x:v>
      </x:c>
      <x:c r="L36" t="str">
        <x:v>A abstração de vínculos de invoice não inclui a terceira origem Granito.</x:v>
      </x:c>
      <x:c r="M36" t="str">
        <x:v>Lista e detalhe hidratam invoice_granite_bls com B/L, POD, navio e viagem.</x:v>
      </x:c>
      <x:c r="N36" t="str">
        <x:v>npx vitest run src/services/__tests__/billing.test.ts src/services/__tests__/graniteInvoiceDetail.test.ts</x:v>
      </x:c>
      <x:c r="O36" t="str">
        <x:v>Passed</x:v>
      </x:c>
      <x:c r="P36" t="str">
        <x:v>src/services/billing.ts; src/components/billing/InvoicesTable.tsx; testes focados</x:v>
      </x:c>
      <x:c r="Q36" t="str">
        <x:v>Focused automated regression passed; live database verification remains blocked.</x:v>
      </x:c>
    </x:row>
    <x:row r="37">
      <x:c r="A37" t="str">
        <x:v>DEF-036</x:v>
      </x:c>
      <x:c r="B37" t="str">
        <x:v>US-083</x:v>
      </x:c>
      <x:c r="C37" t="str">
        <x:v>RPC de Granito grava invoice com tipo individual</x:v>
      </x:c>
      <x:c r="D37" t="str">
        <x:v>Logística / classificação</x:v>
      </x:c>
      <x:c r="E37" t="str">
        <x:v>Medium</x:v>
      </x:c>
      <x:c r="F37" t="str">
        <x:v>Fixed</x:v>
      </x:c>
      <x:c r="G37" t="str">
        <x:v>Local focused test; live Supabase retest pending</x:v>
      </x:c>
      <x:c r="H37" t="str">
        <x:v>Emitir invoice pela RPC create_invoice_from_granite_bls.</x:v>
      </x:c>
      <x:c r="I37" t="str">
        <x:v>invoice_type identifica o documento como granite.</x:v>
      </x:c>
      <x:c r="J37" t="str">
        <x:v>O INSERT não informa invoice_type e herda o default individual.</x:v>
      </x:c>
      <x:c r="K37" t="str">
        <x:v>supabase/migrations/20260528134131_fix_granite_invoice_cancel_reissue.sql; docs/modules/granito.md:226-229</x:v>
      </x:c>
      <x:c r="L37" t="str">
        <x:v>A RPC especializada não persiste sua própria classificação de domínio.</x:v>
      </x:c>
      <x:c r="M37" t="str">
        <x:v>Trigger classifica como granite toda invoice ligada a invoice_granite_bls e corrige o legado.</x:v>
      </x:c>
      <x:c r="N37" t="str">
        <x:v>npx vitest run src/services/__tests__/graniteInvoiceClassification.test.ts</x:v>
      </x:c>
      <x:c r="O37" t="str">
        <x:v>Passed</x:v>
      </x:c>
      <x:c r="P37" t="str">
        <x:v>supabase/migrations/20260622175108_classify_granite_invoices.sql; teste focado</x:v>
      </x:c>
      <x:c r="Q37" t="str">
        <x:v>Focused automated regression passed; live database verification remains blocked.</x:v>
      </x:c>
    </x:row>
    <x:row r="38">
      <x:c r="A38" t="str">
        <x:v>DEF-037</x:v>
      </x:c>
      <x:c r="B38" t="str">
        <x:v>US-076</x:v>
      </x:c>
      <x:c r="C38" t="str">
        <x:v>Importação Granito pode deixar manifesto incompleto</x:v>
      </x:c>
      <x:c r="D38" t="str">
        <x:v>Logística / atomicidade</x:v>
      </x:c>
      <x:c r="E38" t="str">
        <x:v>High</x:v>
      </x:c>
      <x:c r="F38" t="str">
        <x:v>Fixed</x:v>
      </x:c>
      <x:c r="G38" t="str">
        <x:v>Local focused test; live Supabase retest pending</x:v>
      </x:c>
      <x:c r="H38" t="str">
        <x:v>Fazer o upsert de granite_bls falhar após criar granite_manifests.</x:v>
      </x:c>
      <x:c r="I38" t="str">
        <x:v>Manifesto e B/Ls são confirmados na mesma transação.</x:v>
      </x:c>
      <x:c r="J38" t="str">
        <x:v>importGraniteManifest cria o cabeçalho antes do upsert separado dos B/Ls.</x:v>
      </x:c>
      <x:c r="K38" t="str">
        <x:v>src/services/graniteImport.ts:205-260</x:v>
      </x:c>
      <x:c r="L38" t="str">
        <x:v>A importação multi-tabela não usa RPC transacional.</x:v>
      </x:c>
      <x:c r="M38" t="str">
        <x:v>Cabeçalho e B/Ls aceitos são persistidos por uma RPC transacional.</x:v>
      </x:c>
      <x:c r="N38" t="str">
        <x:v>npx vitest run src/services/__tests__/graniteImportAtomic.test.ts</x:v>
      </x:c>
      <x:c r="O38" t="str">
        <x:v>Passed</x:v>
      </x:c>
      <x:c r="P38" t="str">
        <x:v>src/services/graniteImport.ts; supabase/migrations/20260622174832_import_granite_manifest_transactional.sql; teste focado</x:v>
      </x:c>
      <x:c r="Q38" t="str">
        <x:v>Focused automated regression passed; live database verification remains blocked.</x:v>
      </x:c>
    </x:row>
    <x:row r="39">
      <x:c r="A39" t="str">
        <x:v>DEF-038</x:v>
      </x:c>
      <x:c r="B39" t="str">
        <x:v>US-109</x:v>
      </x:c>
      <x:c r="C39" t="str">
        <x:v>Importação em lote de datas não aparece no Histórico do B/L</x:v>
      </x:c>
      <x:c r="D39" t="str">
        <x:v>UX / auditoria</x:v>
      </x:c>
      <x:c r="E39" t="str">
        <x:v>Medium</x:v>
      </x:c>
      <x:c r="F39" t="str">
        <x:v>Fixed</x:v>
      </x:c>
      <x:c r="G39" t="str">
        <x:v>Local focused test; live Supabase retest pending</x:v>
      </x:c>
      <x:c r="H39" t="str">
        <x:v>Importar descarga/devolução de containers por planilha e abrir Histórico do B/L.</x:v>
      </x:c>
      <x:c r="I39" t="str">
        <x:v>Mudanças operacionais em lote geram eventos equivalentes às edições individuais.</x:v>
      </x:c>
      <x:c r="J39" t="str">
        <x:v>importContainerDates atualiza bl_containers sem eventos bl_container/audit_logs.</x:v>
      </x:c>
      <x:c r="K39" t="str">
        <x:v>src/services/containerDatesImport.ts:53-115; docs/modules/manifesto-edi.md:191</x:v>
      </x:c>
      <x:c r="L39" t="str">
        <x:v>O importador em lote não reutiliza o autor auditado da atualização individual.</x:v>
      </x:c>
      <x:c r="M39" t="str">
        <x:v>O importador reutiliza a RPC auditada de datas para cada container alterado.</x:v>
      </x:c>
      <x:c r="N39" t="str">
        <x:v>npx vitest run src/services/__tests__/containerDatesImport.test.ts src/services/__tests__/containerDateAuditMigration.test.ts</x:v>
      </x:c>
      <x:c r="O39" t="str">
        <x:v>Passed</x:v>
      </x:c>
      <x:c r="P39" t="str">
        <x:v>src/services/containerDatesImport.ts; supabase/migrations/20260622180300_audit_container_dates_and_propagate_ata.sql</x:v>
      </x:c>
      <x:c r="Q39" t="str">
        <x:v>Focused automated regression passed; live database verification remains blocked.</x:v>
      </x:c>
    </x:row>
    <x:row r="40">
      <x:c r="A40" t="str">
        <x:v>DEF-039</x:v>
      </x:c>
      <x:c r="B40" t="str">
        <x:v>US-032</x:v>
      </x:c>
      <x:c r="C40" t="str">
        <x:v>Correção posterior da ATA da viagem não atualiza descarga dos containers</x:v>
      </x:c>
      <x:c r="D40" t="str">
        <x:v>Logística / sincronização</x:v>
      </x:c>
      <x:c r="E40" t="str">
        <x:v>Medium</x:v>
      </x:c>
      <x:c r="F40" t="str">
        <x:v>Fixed</x:v>
      </x:c>
      <x:c r="G40" t="str">
        <x:v>Local focused test; live Supabase retest pending</x:v>
      </x:c>
      <x:c r="H40" t="str">
        <x:v>Alterar voyages.ata depois que os containers já foram inseridos.</x:v>
      </x:c>
      <x:c r="I40" t="str">
        <x:v>A descarga derivada é atualizada ou sinalizada para reconciliação.</x:v>
      </x:c>
      <x:c r="J40" t="str">
        <x:v>trg_container_discharge_date executa apenas BEFORE INSERT em bl_containers.</x:v>
      </x:c>
      <x:c r="K40" t="str">
        <x:v>supabase/migrations/028_demurrage_module.sql:87-109</x:v>
      </x:c>
      <x:c r="L40" t="str">
        <x:v>A derivação de discharge_date não possui caminho para mudanças posteriores da fonte ATA.</x:v>
      </x:c>
      <x:c r="M40" t="str">
        <x:v>Trigger propaga a ATA corrigida somente para datas ainda derivadas, preservando edições manuais.</x:v>
      </x:c>
      <x:c r="N40" t="str">
        <x:v>npx vitest run src/services/__tests__/containerDateAuditMigration.test.ts</x:v>
      </x:c>
      <x:c r="O40" t="str">
        <x:v>Passed</x:v>
      </x:c>
      <x:c r="P40" t="str">
        <x:v>supabase/migrations/20260622180300_audit_container_dates_and_propagate_ata.sql; teste focado</x:v>
      </x:c>
      <x:c r="Q40" t="str">
        <x:v>Focused automated regression passed; live database verification remains blocked.</x:v>
      </x:c>
    </x:row>
    <x:row r="41">
      <x:c r="A41" t="str">
        <x:v>DEF-040</x:v>
      </x:c>
      <x:c r="B41" t="str">
        <x:v>US-063</x:v>
      </x:c>
      <x:c r="C41" t="str">
        <x:v>Emissão em lote pode promover B/Ls sem criar a invoice correspondente</x:v>
      </x:c>
      <x:c r="D41" t="str">
        <x:v>Logística / atomicidade</x:v>
      </x:c>
      <x:c r="E41" t="str">
        <x:v>Critical</x:v>
      </x:c>
      <x:c r="F41" t="str">
        <x:v>Fixed</x:v>
      </x:c>
      <x:c r="G41" t="str">
        <x:v>Local focused test; live Supabase retest pending</x:v>
      </x:c>
      <x:c r="H41" t="str">
        <x:v>Executar Pronto/Faturar em lote e provocar falha na criação da invoice após a promoção.</x:v>
      </x:c>
      <x:c r="I41" t="str">
        <x:v>Promoção e emissão são atômicas por grupo ou cada falha reverte o estado promovido.</x:v>
      </x:c>
      <x:c r="J41" t="str">
        <x:v>ValidacaoTab promove primeiro e depois chama createInvoiceFromBls por cliente.</x:v>
      </x:c>
      <x:c r="K41" t="str">
        <x:v>src/components/billing/ValidacaoTab.tsx:210-258</x:v>
      </x:c>
      <x:c r="L41" t="str">
        <x:v>A UI não usa a fronteira atômica mark_bl_ready_and_create_invoice para o lote.</x:v>
      </x:c>
      <x:c r="M41" t="str">
        <x:v>Cada grupo de cliente é promovido e faturado por uma única RPC.</x:v>
      </x:c>
      <x:c r="N41" t="str">
        <x:v>npx vitest run src/services/__tests__/localBatchBillingWorkflow.test.ts src/services/__tests__/markBlsReadyAndCreateInvoiceMigration.test.ts</x:v>
      </x:c>
      <x:c r="O41" t="str">
        <x:v>Passed</x:v>
      </x:c>
      <x:c r="P41" t="str">
        <x:v>src/components/billing/ValidacaoTab.tsx; src/services/localBatchBillingWorkflow.ts; src/services/billing.ts; supabase/migrations/20260622133100_mark_bls_ready_and_create_invoice_atomic.sql</x:v>
      </x:c>
      <x:c r="Q41" t="str">
        <x:v>Focused automated regression passed; live database verification remains blocked.</x:v>
      </x:c>
    </x:row>
    <x:row r="42">
      <x:c r="A42" t="str">
        <x:v>DEF-041</x:v>
      </x:c>
      <x:c r="B42" t="str">
        <x:v>US-001</x:v>
      </x:c>
      <x:c r="C42" t="str">
        <x:v>Instalacao limpa nao concede acesso a programacao de navios</x:v>
      </x:c>
      <x:c r="D42" t="str">
        <x:v>Logistica / autorizacao</x:v>
      </x:c>
      <x:c r="E42" t="str">
        <x:v>High</x:v>
      </x:c>
      <x:c r="F42" t="str">
        <x:v>Fixed</x:v>
      </x:c>
      <x:c r="G42" t="str">
        <x:v>Disposable PostgreSQL 17 + focused regression</x:v>
      </x:c>
      <x:c r="H42" t="str">
        <x:v>Aplicar todas as migrations do zero e acessar vessel_schedules como usuario autenticado.</x:v>
      </x:c>
      <x:c r="I42" t="str">
        <x:v>As policies RLS vigentes controlam leitura e mutacao da programacao.</x:v>
      </x:c>
      <x:c r="J42" t="str">
        <x:v>A role authenticated nao possuia privilegios de tabela e falhava antes da avaliacao RLS.</x:v>
      </x:c>
      <x:c r="K42" t="str">
        <x:v>PostgreSQL 17 descartavel; supabase/migrations/20260622213000_grant_vessel_schedule_privileges.sql</x:v>
      </x:c>
      <x:c r="L42" t="str">
        <x:v>As tabelas foram criadas depois do grant global inicial sem grants explicitos correspondentes.</x:v>
      </x:c>
      <x:c r="M42" t="str">
        <x:v>Grants explicitos permitem que authenticated chegue as policies RLS de programacao e encerrados.</x:v>
      </x:c>
      <x:c r="N42" t="str">
        <x:v>npx vitest run src/services/__tests__/vesselScheduleAdmin.test.ts; validacao PostgreSQL 17</x:v>
      </x:c>
      <x:c r="O42" t="str">
        <x:v>Passed</x:v>
      </x:c>
      <x:c r="P42" t="str">
        <x:v>supabase/migrations/20260622213000_grant_vessel_schedule_privileges.sql; docs/modules/chegadas-saidas.md</x:v>
      </x:c>
      <x:c r="Q42" t="str">
        <x:v>Focused regression and disposable database verification passed.</x:v>
      </x:c>
    </x:row>
    <x:row r="43">
      <x:c r="A43" t="str">
        <x:v>DEF-042</x:v>
      </x:c>
      <x:c r="B43" t="str">
        <x:v>US-095</x:v>
      </x:c>
      <x:c r="C43" t="str">
        <x:v>Rate limit de manifesto referencia coluna ausente em instalacao limpa</x:v>
      </x:c>
      <x:c r="D43" t="str">
        <x:v>Logistica / compatibilidade de schema</x:v>
      </x:c>
      <x:c r="E43" t="str">
        <x:v>High</x:v>
      </x:c>
      <x:c r="F43" t="str">
        <x:v>Fixed</x:v>
      </x:c>
      <x:c r="G43" t="str">
        <x:v>Disposable PostgreSQL 17 + focused regression</x:v>
      </x:c>
      <x:c r="H43" t="str">
        <x:v>Aplicar migrations do zero e executar import_manifest_transactional.</x:v>
      </x:c>
      <x:c r="I43" t="str">
        <x:v>A RPC contabiliza imports recentes e retorna P0429 ao exceder o limite.</x:v>
      </x:c>
      <x:c r="J43" t="str">
        <x:v>A consulta referenciava import_batches.created_at, mas a tabela possuia apenas uploaded_at.</x:v>
      </x:c>
      <x:c r="K43" t="str">
        <x:v>Integracao PostgreSQL 17; supabase/migrations/20260622213500_import_batches_rate_limit_timestamp_compat.sql</x:v>
      </x:c>
      <x:c r="L43" t="str">
        <x:v>Uma versao posterior da RPC assumiu um alias temporal ausente no schema base.</x:v>
      </x:c>
      <x:c r="M43" t="str">
        <x:v>created_at tornou-se alias gerado e compativel de uploaded_at para as RPCs de rate limit.</x:v>
      </x:c>
      <x:c r="N43" t="str">
        <x:v>npx vitest run src/services/__tests__/importRateLimitTimestampMigration.test.ts; integracao P0429</x:v>
      </x:c>
      <x:c r="O43" t="str">
        <x:v>Passed</x:v>
      </x:c>
      <x:c r="P43" t="str">
        <x:v>supabase/migrations/20260622213500_import_batches_rate_limit_timestamp_compat.sql</x:v>
      </x:c>
      <x:c r="Q43" t="str">
        <x:v>Focused regression and disposable database verification passed.</x:v>
      </x:c>
    </x:row>
    <x:row r="44">
      <x:c r="A44" t="str">
        <x:v>DEF-043</x:v>
      </x:c>
      <x:c r="B44" t="str">
        <x:v>US-063</x:v>
      </x:c>
      <x:c r="C44" t="str">
        <x:v>Wrapper de emissao nao consegue executar o core revogado</x:v>
      </x:c>
      <x:c r="D44" t="str">
        <x:v>Logistica / autorizacao</x:v>
      </x:c>
      <x:c r="E44" t="str">
        <x:v>Critical</x:v>
      </x:c>
      <x:c r="F44" t="str">
        <x:v>Fixed</x:v>
      </x:c>
      <x:c r="G44" t="str">
        <x:v>Disposable PostgreSQL 17 + focused regression</x:v>
      </x:c>
      <x:c r="H44" t="str">
        <x:v>Como admin autenticado, chamar create_invoice_from_bls em instalacao limpa.</x:v>
      </x:c>
      <x:c r="I44" t="str">
        <x:v>O wrapper valida a sessao e executa o core sem expo-lo diretamente.</x:v>
      </x:c>
      <x:c r="J44" t="str">
        <x:v>O wrapper SECURITY INVOKER herdava a revogacao do core e retornava 42501.</x:v>
      </x:c>
      <x:c r="K44" t="str">
        <x:v>Integracao PostgreSQL 17; supabase/migrations/20260622214500_secure_billing_core_wrappers.sql</x:v>
      </x:c>
      <x:c r="L44" t="str">
        <x:v>A fronteira publica protegida e seu core interno ficaram com privilegios incompativeis.</x:v>
      </x:c>
      <x:c r="M44" t="str">
        <x:v>Os wrappers validados executam como definidor; o core continua revogado para acesso direto.</x:v>
      </x:c>
      <x:c r="N44" t="str">
        <x:v>npx vitest run src/services/__tests__/billingCoreWrapperPrivilegesMigration.test.ts; integracao de faturamento</x:v>
      </x:c>
      <x:c r="O44" t="str">
        <x:v>Passed</x:v>
      </x:c>
      <x:c r="P44" t="str">
        <x:v>supabase/migrations/20260622214500_secure_billing_core_wrappers.sql</x:v>
      </x:c>
      <x:c r="Q44" t="str">
        <x:v>Focused regression and disposable database verification passed.</x:v>
      </x:c>
    </x:row>
    <x:row r="45">
      <x:c r="A45" t="str">
        <x:v>DEF-044</x:v>
      </x:c>
      <x:c r="B45" t="str">
        <x:v>US-071</x:v>
      </x:c>
      <x:c r="C45" t="str">
        <x:v>Cancelamento de invoice falha ao atualizar billing_batches</x:v>
      </x:c>
      <x:c r="D45" t="str">
        <x:v>Logistica / autorizacao</x:v>
      </x:c>
      <x:c r="E45" t="str">
        <x:v>Critical</x:v>
      </x:c>
      <x:c r="F45" t="str">
        <x:v>Fixed</x:v>
      </x:c>
      <x:c r="G45" t="str">
        <x:v>Disposable PostgreSQL 17 + focused regression</x:v>
      </x:c>
      <x:c r="H45" t="str">
        <x:v>Criar uma invoice como admin e chamar cancel_invoice.</x:v>
      </x:c>
      <x:c r="I45" t="str">
        <x:v>A invoice, batch e B/Ls sao atualizados atomicamente apos a validacao de admin.</x:v>
      </x:c>
      <x:c r="J45" t="str">
        <x:v>A funcao invoker retornava 42501 ao acessar billing_batches.</x:v>
      </x:c>
      <x:c r="K45" t="str">
        <x:v>Integracao PostgreSQL 17; supabase/migrations/20260622215000_secure_cancel_invoice_wrapper.sql</x:v>
      </x:c>
      <x:c r="L45" t="str">
        <x:v>A RPC protegida dependia de tabelas internas sem privilegios diretos para authenticated.</x:v>
      </x:c>
      <x:c r="M45" t="str">
        <x:v>cancel_invoice executa como definidor somente apos validar sessao ativa e papel admin.</x:v>
      </x:c>
      <x:c r="N45" t="str">
        <x:v>npx vitest run src/services/__tests__/billingCancelPrivilegesMigration.test.ts; integracao criar/cancelar/reemitir</x:v>
      </x:c>
      <x:c r="O45" t="str">
        <x:v>Passed</x:v>
      </x:c>
      <x:c r="P45" t="str">
        <x:v>supabase/migrations/20260622215000_secure_cancel_invoice_wrapper.sql; docs/modules/faturamento.md</x:v>
      </x:c>
      <x:c r="Q45" t="str">
        <x:v>Focused regression and disposable database verification passed.</x:v>
      </x:c>
    </x:row>
    <x:row r="46">
      <x:c r="A46" t="str">
        <x:v>DEF-045</x:v>
      </x:c>
      <x:c r="B46" t="str">
        <x:v>US-015</x:v>
      </x:c>
      <x:c r="C46" t="str">
        <x:v>Selecao de clientes atravessa paginas e filtros invisiveis</x:v>
      </x:c>
      <x:c r="D46" t="str">
        <x:v>UX / selecao em massa</x:v>
      </x:c>
      <x:c r="E46" t="str">
        <x:v>High</x:v>
      </x:c>
      <x:c r="F46" t="str">
        <x:v>Fixed</x:v>
      </x:c>
      <x:c r="G46" t="str">
        <x:v>Disposable PostgreSQL 17 + focused regression</x:v>
      </x:c>
      <x:c r="H46" t="str">
        <x:v>Selecionar clientes, trocar pagina ou filtro e executar uma acao em massa.</x:v>
      </x:c>
      <x:c r="I46" t="str">
        <x:v>A selecao deve conter somente linhas do escopo visivel atual.</x:v>
      </x:c>
      <x:c r="J46" t="str">
        <x:v>O Set mantinha IDs selecionados em paginas e filtros anteriores.</x:v>
      </x:c>
      <x:c r="K46" t="str">
        <x:v>src/pages/Clientes.tsx; src/hooks/useRowSelection.ts</x:v>
      </x:c>
      <x:c r="L46" t="str">
        <x:v>O hook nao possuia identidade de escopo para limpar selecoes obsoletas.</x:v>
      </x:c>
      <x:c r="M46" t="str">
        <x:v>A selecao agora recebe um escopo de filtros, ordenacao e pagina e e limpa quando ele muda.</x:v>
      </x:c>
      <x:c r="N46" t="str">
        <x:v>npx vitest run src/hooks/__tests__/useRowSelection.test.tsx</x:v>
      </x:c>
      <x:c r="O46" t="str">
        <x:v>Passed</x:v>
      </x:c>
      <x:c r="P46" t="str">
        <x:v>src/hooks/useRowSelection.ts; src/pages/Clientes.tsx</x:v>
      </x:c>
      <x:c r="Q46" t="str">
        <x:v>Focused regression and disposable database verification passed.</x:v>
      </x:c>
    </x:row>
    <x:row r="47">
      <x:c r="A47" t="str">
        <x:v>DEF-046</x:v>
      </x:c>
      <x:c r="B47" t="str">
        <x:v>US-017</x:v>
      </x:c>
      <x:c r="C47" t="str">
        <x:v>Criacao de cliente e contatos nao e atomica</x:v>
      </x:c>
      <x:c r="D47" t="str">
        <x:v>Logistica / atomicidade</x:v>
      </x:c>
      <x:c r="E47" t="str">
        <x:v>High</x:v>
      </x:c>
      <x:c r="F47" t="str">
        <x:v>Fixed</x:v>
      </x:c>
      <x:c r="G47" t="str">
        <x:v>Disposable PostgreSQL 17 + focused regression</x:v>
      </x:c>
      <x:c r="H47" t="str">
        <x:v>Criar cliente com contatos e provocar falha no insert de customer_contacts.</x:v>
      </x:c>
      <x:c r="I47" t="str">
        <x:v>Cliente e contatos devem ser confirmados ou revertidos juntos.</x:v>
      </x:c>
      <x:c r="J47" t="str">
        <x:v>O cliente era inserido primeiro e dependia de um delete compensatorio best-effort.</x:v>
      </x:c>
      <x:c r="K47" t="str">
        <x:v>src/services/customers.ts; supabase/migrations/20260623062000_create_customer_with_contacts_atomic.sql</x:v>
      </x:c>
      <x:c r="L47" t="str">
        <x:v>A operacao multi-tabela era orquestrada no cliente sem transacao unica.</x:v>
      </x:c>
      <x:c r="M47" t="str">
        <x:v>Cliente e contatos iniciais sao criados por uma unica RPC transacional.</x:v>
      </x:c>
      <x:c r="N47" t="str">
        <x:v>npx vitest run src/services/__tests__/customerCreateAtomic.test.ts; replay PostgreSQL 17</x:v>
      </x:c>
      <x:c r="O47" t="str">
        <x:v>Passed</x:v>
      </x:c>
      <x:c r="P47" t="str">
        <x:v>src/services/customers.ts; supabase/migrations/20260623062000_create_customer_with_contacts_atomic.sql</x:v>
      </x:c>
      <x:c r="Q47" t="str">
        <x:v>Focused regression and disposable database verification passed.</x:v>
      </x:c>
    </x:row>
    <x:row r="48">
      <x:c r="A48" t="str">
        <x:v>DEF-047</x:v>
      </x:c>
      <x:c r="B48" t="str">
        <x:v>US-029</x:v>
      </x:c>
      <x:c r="C48" t="str">
        <x:v>Ficha do cliente mistura nao encontrado com falha de banco</x:v>
      </x:c>
      <x:c r="D48" t="str">
        <x:v>UX / estado de erro</x:v>
      </x:c>
      <x:c r="E48" t="str">
        <x:v>Medium</x:v>
      </x:c>
      <x:c r="F48" t="str">
        <x:v>Fixed</x:v>
      </x:c>
      <x:c r="G48" t="str">
        <x:v>Disposable PostgreSQL 17 + focused regression</x:v>
      </x:c>
      <x:c r="H48" t="str">
        <x:v>Abrir um documento inexistente e depois simular indisponibilidade do banco.</x:v>
      </x:c>
      <x:c r="I48" t="str">
        <x:v>Ausencia e falha de infraestrutura devem ter mensagens distintas.</x:v>
      </x:c>
      <x:c r="J48" t="str">
        <x:v>Ambos exibiam Cliente nao encontrado ou erro ao consultar o Supabase.</x:v>
      </x:c>
      <x:c r="K48" t="str">
        <x:v>src/pages/ClienteFicha.tsx</x:v>
      </x:c>
      <x:c r="L48" t="str">
        <x:v>O estado terminal nao classificava o codigo PGRST116.</x:v>
      </x:c>
      <x:c r="M48" t="str">
        <x:v>PGRST116/ausencia e falha de infraestrutura agora renderizam estados distintos.</x:v>
      </x:c>
      <x:c r="N48" t="str">
        <x:v>npx vitest run src/pages/__tests__/ClienteFicha.behavior.test.tsx</x:v>
      </x:c>
      <x:c r="O48" t="str">
        <x:v>Passed</x:v>
      </x:c>
      <x:c r="P48" t="str">
        <x:v>src/pages/ClienteFicha.tsx</x:v>
      </x:c>
      <x:c r="Q48" t="str">
        <x:v>Focused regression and disposable database verification passed.</x:v>
      </x:c>
    </x:row>
    <x:row r="49">
      <x:c r="A49" t="str">
        <x:v>DEF-048</x:v>
      </x:c>
      <x:c r="B49" t="str">
        <x:v>US-198</x:v>
      </x:c>
      <x:c r="C49" t="str">
        <x:v>Usuário com acesso somente a overrides abre Taxas Locais sem conteúdo</x:v>
      </x:c>
      <x:c r="D49" t="str">
        <x:v>UX / autorização</x:v>
      </x:c>
      <x:c r="E49" t="str">
        <x:v>Medium</x:v>
      </x:c>
      <x:c r="F49" t="str">
        <x:v>Fixed</x:v>
      </x:c>
      <x:c r="G49" t="str">
        <x:v>Local focused test; live Supabase retest pending</x:v>
      </x:c>
      <x:c r="H49" t="str">
        <x:v>Entrar com charge_overrides permitido e charge_tables negado e abrir /taxas-locais.</x:v>
      </x:c>
      <x:c r="I49" t="str">
        <x:v>A primeira aba autorizada fica ativa e seu conteúdo é renderizado.</x:v>
      </x:c>
      <x:c r="J49" t="str">
        <x:v>O estado inicial permanece em tabelas; a aba Overrides aparece, mas o corpo fica vazio.</x:v>
      </x:c>
      <x:c r="K49" t="str">
        <x:v>src/pages/TaxasLocais.tsx; src/pages/__tests__/TaxasLocais.test.ts</x:v>
      </x:c>
      <x:c r="L49" t="str">
        <x:v>A aba inicial era fixa e não considerava as capacidades disponíveis.</x:v>
      </x:c>
      <x:c r="M49" t="str">
        <x:v>A rota deriva a aba ativa da primeira capacidade disponível.</x:v>
      </x:c>
      <x:c r="N49" t="str">
        <x:v>npx vitest run src/pages/__tests__/TaxasLocais.test.ts</x:v>
      </x:c>
      <x:c r="O49" t="str">
        <x:v>Passed</x:v>
      </x:c>
      <x:c r="P49" t="str">
        <x:v>src/pages/TaxasLocais.tsx; src/pages/__tests__/TaxasLocais.test.ts</x:v>
      </x:c>
      <x:c r="Q49" t="str">
        <x:v>Focused automated regression passed; live database verification remains blocked.</x:v>
      </x:c>
    </x:row>
    <x:row r="50">
      <x:c r="A50" t="str">
        <x:v>DEF-049</x:v>
      </x:c>
      <x:c r="B50" t="str">
        <x:v>US-189</x:v>
      </x:c>
      <x:c r="C50" t="str">
        <x:v>Historico pode abrir a baixa errada de uma invoice</x:v>
      </x:c>
      <x:c r="D50" t="str">
        <x:v>Logistica / associacao</x:v>
      </x:c>
      <x:c r="E50" t="str">
        <x:v>High</x:v>
      </x:c>
      <x:c r="F50" t="str">
        <x:v>Fixed</x:v>
      </x:c>
      <x:c r="G50" t="str">
        <x:v>Local focused test; live Supabase retest pending</x:v>
      </x:c>
      <x:c r="H50" t="str">
        <x:v>Abrir uma invoice com varios pagamentos retornados fora de ordem e selecionar seu detalhe no historico.</x:v>
      </x:c>
      <x:c r="I50" t="str">
        <x:v>A data exibida e o paymentId usado no estorno pertencem a mesma baixa mais recente.</x:v>
      </x:c>
      <x:c r="J50" t="str">
        <x:v>A data era calculada pelo maior paid_at, mas o paymentId vinha do ultimo elemento do array.</x:v>
      </x:c>
      <x:c r="K50" t="str">
        <x:v>src/services/reconciliacao.ts; src/services/__tests__/reconciliationInvoiceType.test.ts</x:v>
      </x:c>
      <x:c r="L50" t="str">
        <x:v>Data e identidade do pagamento eram selecionadas por algoritmos independentes.</x:v>
      </x:c>
      <x:c r="M50" t="str">
        <x:v>Data e paymentId agora sao extraidos do mesmo pagamento mais recente.</x:v>
      </x:c>
      <x:c r="N50" t="str">
        <x:v>npx vitest run src/services/__tests__/reconciliationInvoiceType.test.ts</x:v>
      </x:c>
      <x:c r="O50" t="str">
        <x:v>Passed</x:v>
      </x:c>
      <x:c r="P50" t="str">
        <x:v>src/services/reconciliacao.ts; src/services/__tests__/reconciliationInvoiceType.test.ts</x:v>
      </x:c>
      <x:c r="Q50" t="str">
        <x:v>Focused automated regression passed; live database verification remains blocked.</x:v>
      </x:c>
    </x:row>
    <x:row r="51">
      <x:c r="A51" t="str">
        <x:v>DEF-050</x:v>
      </x:c>
      <x:c r="B51" t="str">
        <x:v>US-187</x:v>
      </x:c>
      <x:c r="C51" t="str">
        <x:v>Filtros do historico ignoram pagamentos fora das primeiras 2000 linhas</x:v>
      </x:c>
      <x:c r="D51" t="str">
        <x:v>Logistica / busca</x:v>
      </x:c>
      <x:c r="E51" t="str">
        <x:v>High</x:v>
      </x:c>
      <x:c r="F51" t="str">
        <x:v>Fixed</x:v>
      </x:c>
      <x:c r="G51" t="str">
        <x:v>Local focused test; live Supabase retest pending</x:v>
      </x:c>
      <x:c r="H51" t="str">
        <x:v>Filtrar por B/L ou periodo cujo pagamento esteja alem das 2000 linhas mais recentes de um dominio.</x:v>
      </x:c>
      <x:c r="I51" t="str">
        <x:v>Os filtros consideram todo o historico elegivel.</x:v>
      </x:c>
      <x:c r="J51" t="str">
        <x:v>Cada dominio era limitado a 2000 linhas antes dos filtros em memoria.</x:v>
      </x:c>
      <x:c r="K51" t="str">
        <x:v>src/services/reconciliacao.ts; src/services/__tests__/reconciliationHistoryPagination.test.ts</x:v>
      </x:c>
      <x:c r="L51" t="str">
        <x:v>A consulta aplicava limite antes da filtragem, tornando o resultado dependente da posicao.</x:v>
      </x:c>
      <x:c r="M51" t="str">
        <x:v>Os dois dominios sao paginados integralmente antes dos filtros e da paginacao visual.</x:v>
      </x:c>
      <x:c r="N51" t="str">
        <x:v>npx vitest run src/services/__tests__/reconciliationHistoryPagination.test.ts</x:v>
      </x:c>
      <x:c r="O51" t="str">
        <x:v>Passed</x:v>
      </x:c>
      <x:c r="P51" t="str">
        <x:v>src/services/reconciliacao.ts; src/services/__tests__/reconciliationHistoryPagination.test.ts</x:v>
      </x:c>
      <x:c r="Q51" t="str">
        <x:v>Focused automated regression passed; live database verification remains blocked.</x:v>
      </x:c>
    </x:row>
    <x:row r="52">
      <x:c r="A52" t="str">
        <x:v>DEF-051</x:v>
      </x:c>
      <x:c r="B52" t="str">
        <x:v>US-188</x:v>
      </x:c>
      <x:c r="C52" t="str">
        <x:v>Falha ao exportar historico gera rejeicao sem feedback</x:v>
      </x:c>
      <x:c r="D52" t="str">
        <x:v>UX / estado de erro</x:v>
      </x:c>
      <x:c r="E52" t="str">
        <x:v>Medium</x:v>
      </x:c>
      <x:c r="F52" t="str">
        <x:v>Fixed</x:v>
      </x:c>
      <x:c r="G52" t="str">
        <x:v>Local focused test; live Supabase retest pending</x:v>
      </x:c>
      <x:c r="H52" t="str">
        <x:v>Provocar falha de leitura ou escrita ao clicar em Exportar Excel.</x:v>
      </x:c>
      <x:c r="I52" t="str">
        <x:v>A tela encerra o loading e informa que a exportacao falhou.</x:v>
      </x:c>
      <x:c r="J52" t="str">
        <x:v>O onClick retornava a promise sem catch ou feedback ao operador.</x:v>
      </x:c>
      <x:c r="K52" t="str">
        <x:v>src/components/billing/ReconciliationHistoryTable.tsx; teste comportamental</x:v>
      </x:c>
      <x:c r="L52" t="str">
        <x:v>A acao assincrona nao possuia handler de erro de interface.</x:v>
      </x:c>
      <x:c r="M52" t="str">
        <x:v>A exportacao possui loading, captura a falha e apresenta toast dedicado.</x:v>
      </x:c>
      <x:c r="N52" t="str">
        <x:v>npx vitest run src/components/billing/__tests__/ReconciliationHistoryTable.behavior.test.tsx</x:v>
      </x:c>
      <x:c r="O52" t="str">
        <x:v>Passed</x:v>
      </x:c>
      <x:c r="P52" t="str">
        <x:v>src/components/billing/ReconciliationHistoryTable.tsx; teste comportamental</x:v>
      </x:c>
      <x:c r="Q52" t="str">
        <x:v>Focused automated regression passed; live database verification remains blocked.</x:v>
      </x:c>
    </x:row>
    <x:row r="53">
      <x:c r="A53" t="str">
        <x:v>DEF-052</x:v>
      </x:c>
      <x:c r="B53" t="str">
        <x:v>US-108</x:v>
      </x:c>
      <x:c r="C53" t="str">
        <x:v>Importacao de carga solta pode deixar lote parcial em processing</x:v>
      </x:c>
      <x:c r="D53" t="str">
        <x:v>Logistica / atomicidade</x:v>
      </x:c>
      <x:c r="E53" t="str">
        <x:v>High</x:v>
      </x:c>
      <x:c r="F53" t="str">
        <x:v>Fixed</x:v>
      </x:c>
      <x:c r="G53" t="str">
        <x:v>Disposable PostgreSQL 17 + focused regression</x:v>
      </x:c>
      <x:c r="H53" t="str">
        <x:v>Provocar falha ao substituir itens ou aplicar o review gate depois de criar o batch e upsertar B/Ls.</x:v>
      </x:c>
      <x:c r="I53" t="str">
        <x:v>Batch, B/Ls, campos BB, itens, erros e gate sao confirmados ou revertidos juntos.</x:v>
      </x:c>
      <x:c r="J53" t="str">
        <x:v>O cliente executava cada escrita separadamente e nao possuia rollback.</x:v>
      </x:c>
      <x:c r="K53" t="str">
        <x:v>src/services/breakbulkImport.ts; migration 20260623095500; validacao PostgreSQL 17</x:v>
      </x:c>
      <x:c r="L53" t="str">
        <x:v>A importacao multi-tabela de BB nao tinha uma fronteira transacional no banco.</x:v>
      </x:c>
      <x:c r="M53" t="str">
        <x:v>A persistencia central de BB passou para uma RPC que compoe o import core, campos BB, itens e review gate na mesma transacao.</x:v>
      </x:c>
      <x:c r="N53" t="str">
        <x:v>npx vitest run src/services/__tests__/breakbulkImport.test.ts src/services/__tests__/breakbulkImportAtomicMigration.test.ts; PostgreSQL write validation</x:v>
      </x:c>
      <x:c r="O53" t="str">
        <x:v>Passed</x:v>
      </x:c>
      <x:c r="P53" t="str">
        <x:v>src/services/breakbulkImport.ts; src/types/database.ts; supabase/migrations/20260623095500_import_breakbulk_manifest_transactional.sql; testes</x:v>
      </x:c>
      <x:c r="Q53" t="str">
        <x:v>Focused regression and disposable database verification passed.</x:v>
      </x:c>
    </x:row>
    <x:row r="54">
      <x:c r="A54" t="str">
        <x:v>DEF-053</x:v>
      </x:c>
      <x:c r="B54" t="str">
        <x:v>US-097</x:v>
      </x:c>
      <x:c r="C54" t="str">
        <x:v>CE Master pode ser salvo sem sua auditoria</x:v>
      </x:c>
      <x:c r="D54" t="str">
        <x:v>Logistica / atomicidade</x:v>
      </x:c>
      <x:c r="E54" t="str">
        <x:v>High</x:v>
      </x:c>
      <x:c r="F54" t="str">
        <x:v>Fixed</x:v>
      </x:c>
      <x:c r="G54" t="str">
        <x:v>Local focused test; live Supabase retest pending</x:v>
      </x:c>
      <x:c r="H54" t="str">
        <x:v>Provocar falha ao inserir o audit log depois de atualizar o CE Master.</x:v>
      </x:c>
      <x:c r="I54" t="str">
        <x:v>Valor e auditoria sao confirmados ou revertidos juntos.</x:v>
      </x:c>
      <x:c r="J54" t="str">
        <x:v>O cliente atualizava import_batches antes de inserir o log em outra requisicao.</x:v>
      </x:c>
      <x:c r="K54" t="str">
        <x:v>src/services/manifestImport.ts; migration 20260623110000; teste focado</x:v>
      </x:c>
      <x:c r="L54" t="str">
        <x:v>A edicao auditada nao possuia fronteira transacional no banco.</x:v>
      </x:c>
      <x:c r="M54" t="str">
        <x:v>CE Master e audit log agora sao persistidos por uma unica RPC com lock e validacao do autor.</x:v>
      </x:c>
      <x:c r="N54" t="str">
        <x:v>vitest run src/services/__tests__/manifestCeMasterAtomic.test.ts</x:v>
      </x:c>
      <x:c r="O54" t="str">
        <x:v>Passed</x:v>
      </x:c>
      <x:c r="P54" t="str">
        <x:v>src/services/manifestImport.ts; src/types/database.ts; supabase/migrations/20260623110000_set_import_batch_ce_master_atomic.sql; teste</x:v>
      </x:c>
      <x:c r="Q54" t="str">
        <x:v>Focused automated regression passed; live database verification remains blocked.</x:v>
      </x:c>
    </x:row>
    <x:row r="55">
      <x:c r="A55" t="str">
        <x:v>DEF-054</x:v>
      </x:c>
      <x:c r="B55" t="str">
        <x:v>US-106</x:v>
      </x:c>
      <x:c r="C55" t="str">
        <x:v>Config de demurrage pode persistir parcialmente</x:v>
      </x:c>
      <x:c r="D55" t="str">
        <x:v>Logistica / atomicidade</x:v>
      </x:c>
      <x:c r="E55" t="str">
        <x:v>High</x:v>
      </x:c>
      <x:c r="F55" t="str">
        <x:v>Fixed</x:v>
      </x:c>
      <x:c r="G55" t="str">
        <x:v>Local focused test; live Supabase retest pending</x:v>
      </x:c>
      <x:c r="H55" t="str">
        <x:v>Salvar free time com sucesso e provocar falha na atualizacao de P1/P2.</x:v>
      </x:c>
      <x:c r="I55" t="str">
        <x:v>Free time, P1, P2 e auditoria sao gravados juntos.</x:v>
      </x:c>
      <x:c r="J55" t="str">
        <x:v>O componente executava RPC, update direto e auditoria best-effort em etapas independentes.</x:v>
      </x:c>
      <x:c r="K55" t="str">
        <x:v>src/components/bl/BlDemurrageSection.tsx; migration 20260623112000; teste focado</x:v>
      </x:c>
      <x:c r="L55" t="str">
        <x:v>Uma unica configuracao de negocio era repartida em tres operacoes.</x:v>
      </x:c>
      <x:c r="M55" t="str">
        <x:v>Free time, P1, P2 e os respectivos logs agora pertencem a uma unica transacao com optimistic lock.</x:v>
      </x:c>
      <x:c r="N55" t="str">
        <x:v>vitest run src/services/__tests__/blDemurrageConfigAtomic.test.ts</x:v>
      </x:c>
      <x:c r="O55" t="str">
        <x:v>Passed</x:v>
      </x:c>
      <x:c r="P55" t="str">
        <x:v>src/components/bl/BlDemurrageSection.tsx; src/services/blDemurrageConfig.ts; migration 20260623112000; teste</x:v>
      </x:c>
      <x:c r="Q55" t="str">
        <x:v>Focused automated regression passed; live database verification remains blocked.</x:v>
      </x:c>
    </x:row>
    <x:row r="56">
      <x:c r="A56" t="str">
        <x:v>DEF-055</x:v>
      </x:c>
      <x:c r="B56" t="str">
        <x:v>US-117</x:v>
      </x:c>
      <x:c r="C56" t="str">
        <x:v>Substituicao de vazios Baplie pode apagar o manifesto valido</x:v>
      </x:c>
      <x:c r="D56" t="str">
        <x:v>Logistica / atomicidade</x:v>
      </x:c>
      <x:c r="E56" t="str">
        <x:v>High</x:v>
      </x:c>
      <x:c r="F56" t="str">
        <x:v>Fixed</x:v>
      </x:c>
      <x:c r="G56" t="str">
        <x:v>Local focused test; live Supabase retest pending</x:v>
      </x:c>
      <x:c r="H56" t="str">
        <x:v>Escolher substituir e provocar falha depois da exclusao do manifesto anterior.</x:v>
      </x:c>
      <x:c r="I56" t="str">
        <x:v>O manifesto anterior permanece se o novo nao puder ser criado por completo.</x:v>
      </x:c>
      <x:c r="J56" t="str">
        <x:v>A pagina apagava primeiro e importava depois em requisicoes separadas.</x:v>
      </x:c>
      <x:c r="K56" t="str">
        <x:v>src/pages/Baplie.tsx; migration 20260623111000; teste focado</x:v>
      </x:c>
      <x:c r="L56" t="str">
        <x:v>Delete e recriacao nao compartilhavam transacao.</x:v>
      </x:c>
      <x:c r="M56" t="str">
        <x:v>Leitura do staging, exclusao opcional e criacao do novo manifesto passaram para uma unica RPC.</x:v>
      </x:c>
      <x:c r="N56" t="str">
        <x:v>vitest run src/services/__tests__/vaziosImportsAtomic.test.ts</x:v>
      </x:c>
      <x:c r="O56" t="str">
        <x:v>Passed</x:v>
      </x:c>
      <x:c r="P56" t="str">
        <x:v>src/pages/Baplie.tsx; src/services/vaziosImportacaoImport.ts; migration 20260623111000; teste</x:v>
      </x:c>
      <x:c r="Q56" t="str">
        <x:v>Focused automated regression passed; live database verification remains blocked.</x:v>
      </x:c>
    </x:row>
    <x:row r="57">
      <x:c r="A57" t="str">
        <x:v>DEF-056</x:v>
      </x:c>
      <x:c r="B57" t="str">
        <x:v>US-119</x:v>
      </x:c>
      <x:c r="C57" t="str">
        <x:v>Importacao de bookings pode deixar manifesto sem itens</x:v>
      </x:c>
      <x:c r="D57" t="str">
        <x:v>Logistica / atomicidade</x:v>
      </x:c>
      <x:c r="E57" t="str">
        <x:v>High</x:v>
      </x:c>
      <x:c r="F57" t="str">
        <x:v>Fixed</x:v>
      </x:c>
      <x:c r="G57" t="str">
        <x:v>Local focused test; live Supabase retest pending</x:v>
      </x:c>
      <x:c r="H57" t="str">
        <x:v>Provocar falha ao inserir bookings depois de criar o manifesto.</x:v>
      </x:c>
      <x:c r="I57" t="str">
        <x:v>Cabecalho e bookings sao confirmados ou revertidos juntos.</x:v>
      </x:c>
      <x:c r="J57" t="str">
        <x:v>O cabecalho era criado antes do upsert de itens em outra requisicao.</x:v>
      </x:c>
      <x:c r="K57" t="str">
        <x:v>src/services/vaziosImport.ts; migration 20260623111000; teste focado</x:v>
      </x:c>
      <x:c r="L57" t="str">
        <x:v>A importacao multi-tabela era orquestrada no cliente.</x:v>
      </x:c>
      <x:c r="M57" t="str">
        <x:v>Manifesto e bookings agora sao criados juntos por uma RPC transacional.</x:v>
      </x:c>
      <x:c r="N57" t="str">
        <x:v>vitest run src/services/__tests__/vaziosImportsAtomic.test.ts</x:v>
      </x:c>
      <x:c r="O57" t="str">
        <x:v>Passed</x:v>
      </x:c>
      <x:c r="P57" t="str">
        <x:v>src/services/vaziosImport.ts; src/types/database.ts; migration 20260623111000; teste</x:v>
      </x:c>
      <x:c r="Q57" t="str">
        <x:v>Focused automated regression passed; live database verification remains blocked.</x:v>
      </x:c>
    </x:row>
    <x:row r="58">
      <x:c r="A58" t="str">
        <x:v>DEF-057</x:v>
      </x:c>
      <x:c r="B58" t="str">
        <x:v>US-143</x:v>
      </x:c>
      <x:c r="C58" t="str">
        <x:v>Exportacao do Line-Up no Painel falhava sem feedback ao operador</x:v>
      </x:c>
      <x:c r="D58" t="str">
        <x:v>UX / estado de erro</x:v>
      </x:c>
      <x:c r="E58" t="str">
        <x:v>Medium</x:v>
      </x:c>
      <x:c r="F58" t="str">
        <x:v>Fixed</x:v>
      </x:c>
      <x:c r="G58" t="str">
        <x:v>Local focused test; live Supabase retest pending</x:v>
      </x:c>
      <x:c r="H58" t="str">
        <x:v>Provocar falha de escrita (ex.: disco cheio) ao clicar em Exportar Excel no Painel.</x:v>
      </x:c>
      <x:c r="I58" t="str">
        <x:v>A tela encerra o loading e informa que a exportacao do Line Up falhou.</x:v>
      </x:c>
      <x:c r="J58" t="str">
        <x:v>O onClick retornava a promise de exportacao sem catch, gerando rejeicao nao tratada e botao preso.</x:v>
      </x:c>
      <x:c r="K58" t="str">
        <x:v>src/pages/Painel.tsx; src/pages/__tests__/Painel.behavior.test.tsx</x:v>
      </x:c>
      <x:c r="L58" t="str">
        <x:v>A acao de exportacao nao tinha try/catch/finally, toast nem estado de loading.</x:v>
      </x:c>
      <x:c r="M58" t="str">
        <x:v>A exportacao agora usa useToast, rastreia estado de loading e envolve a escrita em try/catch/finally, exibindo 'Falha ao exportar o Line Up.' e restaurando o botao.</x:v>
      </x:c>
      <x:c r="N58" t="str">
        <x:v>vitest run src/pages/__tests__/Painel.behavior.test.tsx</x:v>
      </x:c>
      <x:c r="O58" t="str">
        <x:v>Passed</x:v>
      </x:c>
      <x:c r="P58" t="str">
        <x:v>src/pages/Painel.tsx; teste comportamental</x:v>
      </x:c>
      <x:c r="Q58" t="str">
        <x:v>Focused automated regression passed; live database verification remains blocked.</x:v>
      </x:c>
    </x:row>
    <x:row r="59">
      <x:c r="A59" t="str">
        <x:v>DEF-058</x:v>
      </x:c>
      <x:c r="B59" t="str">
        <x:v>US-136</x:v>
      </x:c>
      <x:c r="C59" t="str">
        <x:v>Reconhecer alerta reportava sucesso em transicao obsoleta</x:v>
      </x:c>
      <x:c r="D59" t="str">
        <x:v>Logistica / integridade de estado</x:v>
      </x:c>
      <x:c r="E59" t="str">
        <x:v>High</x:v>
      </x:c>
      <x:c r="F59" t="str">
        <x:v>Fixed</x:v>
      </x:c>
      <x:c r="G59" t="str">
        <x:v>Local focused test; live Supabase retest pending</x:v>
      </x:c>
      <x:c r="H59" t="str">
        <x:v>Reconhecer um alerta cujo status ja mudou (update condicional afeta zero linhas).</x:v>
      </x:c>
      <x:c r="I59" t="str">
        <x:v>A operacao falha de forma distinguivel quando nenhuma linha elegivel e atualizada.</x:v>
      </x:c>
      <x:c r="J59" t="str">
        <x:v>O update condicional retornava sucesso mesmo sem afetar linhas.</x:v>
      </x:c>
      <x:c r="K59" t="str">
        <x:v>src/services/alerts.ts; src/services/__tests__/alertsTransitions.test.ts</x:v>
      </x:c>
      <x:c r="L59" t="str">
        <x:v>A transicao nao solicitava nem verificava a linha afetada (.select().maybeSingle()).</x:v>
      </x:c>
      <x:c r="M59" t="str">
        <x:v>acknowledgeAlert agora encadeia .select('id').maybeSingle() e lanca erro explicito de estado obsoleto quando nenhuma linha e retornada.</x:v>
      </x:c>
      <x:c r="N59" t="str">
        <x:v>vitest run src/services/__tests__/alertsTransitions.test.ts</x:v>
      </x:c>
      <x:c r="O59" t="str">
        <x:v>Passed</x:v>
      </x:c>
      <x:c r="P59" t="str">
        <x:v>src/services/alerts.ts; teste focado</x:v>
      </x:c>
      <x:c r="Q59" t="str">
        <x:v>Focused automated regression passed; live database verification remains blocked.</x:v>
      </x:c>
    </x:row>
    <x:row r="60">
      <x:c r="A60" t="str">
        <x:v>DEF-059</x:v>
      </x:c>
      <x:c r="B60" t="str">
        <x:v>US-137</x:v>
      </x:c>
      <x:c r="C60" t="str">
        <x:v>Fechar alerta reportava sucesso em transicao obsoleta</x:v>
      </x:c>
      <x:c r="D60" t="str">
        <x:v>Logistica / integridade de estado</x:v>
      </x:c>
      <x:c r="E60" t="str">
        <x:v>High</x:v>
      </x:c>
      <x:c r="F60" t="str">
        <x:v>Fixed</x:v>
      </x:c>
      <x:c r="G60" t="str">
        <x:v>Local focused test; live Supabase retest pending</x:v>
      </x:c>
      <x:c r="H60" t="str">
        <x:v>Fechar um alerta ja fechado ou cujo status mudou (update condicional afeta zero linhas).</x:v>
      </x:c>
      <x:c r="I60" t="str">
        <x:v>A operacao falha de forma distinguivel quando nenhuma linha elegivel e atualizada.</x:v>
      </x:c>
      <x:c r="J60" t="str">
        <x:v>O update condicional retornava sucesso mesmo sem afetar linhas.</x:v>
      </x:c>
      <x:c r="K60" t="str">
        <x:v>src/services/alerts.ts; src/services/__tests__/alertsTransitions.test.ts</x:v>
      </x:c>
      <x:c r="L60" t="str">
        <x:v>A transicao nao solicitava nem verificava a linha afetada (.select().maybeSingle()).</x:v>
      </x:c>
      <x:c r="M60" t="str">
        <x:v>closeAlert agora encadeia .select('id').maybeSingle() e lanca erro explicito de estado obsoleto quando nenhuma linha e retornada.</x:v>
      </x:c>
      <x:c r="N60" t="str">
        <x:v>vitest run src/services/__tests__/alertsTransitions.test.ts</x:v>
      </x:c>
      <x:c r="O60" t="str">
        <x:v>Passed</x:v>
      </x:c>
      <x:c r="P60" t="str">
        <x:v>src/services/alerts.ts; teste focado</x:v>
      </x:c>
      <x:c r="Q60" t="str">
        <x:v>Focused automated regression passed; live database verification remains blocked.</x:v>
      </x:c>
    </x:row>
    <x:row r="61">
      <x:c r="A61" t="str">
        <x:v>DEF-060</x:v>
      </x:c>
      <x:c r="B61" t="str">
        <x:v>US-134</x:v>
      </x:c>
      <x:c r="C61" t="str">
        <x:v>Vinculo de cliente Granite atualizava e auditava em requisicoes separadas</x:v>
      </x:c>
      <x:c r="D61" t="str">
        <x:v>Logistica / atomicidade</x:v>
      </x:c>
      <x:c r="E61" t="str">
        <x:v>High</x:v>
      </x:c>
      <x:c r="F61" t="str">
        <x:v>Fixed</x:v>
      </x:c>
      <x:c r="G61" t="str">
        <x:v>Disposable PostgreSQL 17 + focused regression</x:v>
      </x:c>
      <x:c r="H61" t="str">
        <x:v>Provocar falha na insercao de auditoria depois de atualizar o client_id do Granite B/L.</x:v>
      </x:c>
      <x:c r="I61" t="str">
        <x:v>Atualizacao do cliente e log de auditoria sao confirmados ou revertidos juntos.</x:v>
      </x:c>
      <x:c r="J61" t="str">
        <x:v>saveGraniteBlReview fazia update direto seguido de insert de auditoria separado.</x:v>
      </x:c>
      <x:c r="K61" t="str">
        <x:v>src/services/review.ts; supabase/migrations/20260623120000_save_granite_bl_review_atomic.sql; src/services/__tests__/graniteReviewAtomic.test.ts</x:v>
      </x:c>
      <x:c r="L61" t="str">
        <x:v>A revisao do Granite nao possuia fronteira transacional no banco.</x:v>
      </x:c>
      <x:c r="M61" t="str">
        <x:v>saveGraniteBlReview agora chama a RPC save_granite_bl_review, que faz lock da linha, atualiza client_id e insere auditoria em uma unica transacao.</x:v>
      </x:c>
      <x:c r="N61" t="str">
        <x:v>vitest run src/services/__tests__/graniteReviewAtomic.test.ts</x:v>
      </x:c>
      <x:c r="O61" t="str">
        <x:v>Passed</x:v>
      </x:c>
      <x:c r="P61" t="str">
        <x:v>src/services/review.ts; src/types/database.ts; supabase/migrations/20260623120000_save_granite_bl_review_atomic.sql; teste focado</x:v>
      </x:c>
      <x:c r="Q61" t="str">
        <x:v>Focused regression and disposable database verification passed.</x:v>
      </x:c>
    </x:row>
    <x:row r="62">
      <x:c r="A62" t="str">
        <x:v>DEF-061</x:v>
      </x:c>
      <x:c r="B62" t="str">
        <x:v>US-148</x:v>
      </x:c>
      <x:c r="C62" t="str">
        <x:v>Falha ao resolver autores do log de auditoria era silenciada</x:v>
      </x:c>
      <x:c r="D62" t="str">
        <x:v>UX / estado de erro</x:v>
      </x:c>
      <x:c r="E62" t="str">
        <x:v>Medium</x:v>
      </x:c>
      <x:c r="F62" t="str">
        <x:v>Fixed</x:v>
      </x:c>
      <x:c r="G62" t="str">
        <x:v>Local focused test; live Supabase retest pending</x:v>
      </x:c>
      <x:c r="H62" t="str">
        <x:v>Provocar falha na consulta secundaria a user_profiles durante fetchAuditLogs.</x:v>
      </x:c>
      <x:c r="I62" t="str">
        <x:v>A falha e propagada e a aba de logs renderiza estado de erro dedicado.</x:v>
      </x:c>
      <x:c r="J62" t="str">
        <x:v>O erro do lookup de user_profiles era ignorado e a tela nao distinguia falha de vazio.</x:v>
      </x:c>
      <x:c r="K62" t="str">
        <x:v>src/services/adminObservability.ts; src/pages/AdminUsuarios.tsx; src/services/__tests__/adminObservability.test.ts</x:v>
      </x:c>
      <x:c r="L62" t="str">
        <x:v>O lookup secundario nao verificava o erro e a query da pagina nao expunha estado de erro.</x:v>
      </x:c>
      <x:c r="M62" t="str">
        <x:v>fetchAuditLogs agora propaga o erro do lookup de user_profiles e a aba de logs renderiza InlineError dedicado; logica extraida para o service adminObservability.</x:v>
      </x:c>
      <x:c r="N62" t="str">
        <x:v>vitest run src/services/__tests__/adminObservability.test.ts</x:v>
      </x:c>
      <x:c r="O62" t="str">
        <x:v>Passed</x:v>
      </x:c>
      <x:c r="P62" t="str">
        <x:v>src/services/adminObservability.ts; src/pages/AdminUsuarios.tsx; teste focado</x:v>
      </x:c>
      <x:c r="Q62" t="str">
        <x:v>Focused automated regression passed; live database verification remains blocked.</x:v>
      </x:c>
    </x:row>
    <x:row r="63">
      <x:c r="A63" t="str">
        <x:v>DEF-062</x:v>
      </x:c>
      <x:c r="B63" t="str">
        <x:v>US-149</x:v>
      </x:c>
      <x:c r="C63" t="str">
        <x:v>Metricas do sistema ignoravam erros das tres consultas</x:v>
      </x:c>
      <x:c r="D63" t="str">
        <x:v>UX / estado de erro</x:v>
      </x:c>
      <x:c r="E63" t="str">
        <x:v>Medium</x:v>
      </x:c>
      <x:c r="F63" t="str">
        <x:v>Fixed</x:v>
      </x:c>
      <x:c r="G63" t="str">
        <x:v>Local focused test; live Supabase retest pending</x:v>
      </x:c>
      <x:c r="H63" t="str">
        <x:v>Provocar falha em qualquer uma das tres leituras (voyages, audit_logs, invoices) de fetchSystemMetrics.</x:v>
      </x:c>
      <x:c r="I63" t="str">
        <x:v>A falha e propagada e a aba de metricas renderiza estado de erro dedicado.</x:v>
      </x:c>
      <x:c r="J63" t="str">
        <x:v>fetchSystemMetrics lia apenas data e ignorava o error de cada consulta.</x:v>
      </x:c>
      <x:c r="K63" t="str">
        <x:v>src/services/adminObservability.ts; src/pages/AdminUsuarios.tsx; src/services/__tests__/adminObservability.test.ts</x:v>
      </x:c>
      <x:c r="L63" t="str">
        <x:v>As tres leituras nao verificavam error e a query da pagina nao expunha estado de erro.</x:v>
      </x:c>
      <x:c r="M63" t="str">
        <x:v>fetchSystemMetrics agora lanca em qualquer erro das tres leituras e a aba de metricas renderiza InlineError dedicado; logica extraida para o service adminObservability.</x:v>
      </x:c>
      <x:c r="N63" t="str">
        <x:v>vitest run src/services/__tests__/adminObservability.test.ts</x:v>
      </x:c>
      <x:c r="O63" t="str">
        <x:v>Passed</x:v>
      </x:c>
      <x:c r="P63" t="str">
        <x:v>src/services/adminObservability.ts; src/pages/AdminUsuarios.tsx; teste focado</x:v>
      </x:c>
      <x:c r="Q63" t="str">
        <x:v>Focused automated regression passed; live database verification remains blocked.</x:v>
      </x:c>
    </x:row>
  </x:sheetData>
  <x:dataValidations count="2">
    <x:dataValidation type="list" sqref="E2:E500">
      <x:formula1>'Lists'!$E$2:$E$5</x:formula1>
    </x:dataValidation>
    <x:dataValidation type="list" sqref="F2:F500">
      <x:formula1>'Lists'!$F$2:$F$7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c3706c3e4543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44" hidden="0" customWidth="1"/>
    <x:col min="7" max="7" width="44" hidden="0" customWidth="1"/>
    <x:col min="8" max="8" width="24" hidden="0" customWidth="1"/>
    <x:col min="9" max="9" width="24" hidden="0" customWidth="1"/>
  </x:cols>
  <x:sheetData>
    <x:row r="1">
      <x:c r="A1" s="36" t="str">
        <x:v>Run ID</x:v>
      </x:c>
      <x:c r="B1" s="36" t="str">
        <x:v>Date</x:v>
      </x:c>
      <x:c r="C1" s="36" t="str">
        <x:v>Scope</x:v>
      </x:c>
      <x:c r="D1" s="36" t="str">
        <x:v>Environment</x:v>
      </x:c>
      <x:c r="E1" s="36" t="str">
        <x:v>Command / Scenario</x:v>
      </x:c>
      <x:c r="F1" s="36" t="str">
        <x:v>Result</x:v>
      </x:c>
      <x:c r="G1" s="36" t="str">
        <x:v>Evidence</x:v>
      </x:c>
      <x:c r="H1" s="36" t="str">
        <x:v>Stories Covered</x:v>
      </x:c>
      <x:c r="I1" s="36" t="str">
        <x:v>Notes</x:v>
      </x:c>
    </x:row>
    <x:row r="2">
      <x:c r="A2" t="str">
        <x:v>RUN-001</x:v>
      </x:c>
      <x:c r="B2" s="1" t="n">
        <x:v>46196.72345380787</x:v>
      </x:c>
      <x:c r="C2" t="str">
        <x:v>Inventory</x:v>
      </x:c>
      <x:c r="D2" t="str">
        <x:v>Local code inspection</x:v>
      </x:c>
      <x:c r="E2" t="str">
        <x:v>Seed from living action catalogs</x:v>
      </x:c>
      <x:c r="F2" t="str">
        <x:v>Passed</x:v>
      </x:c>
      <x:c r="G2" t="str">
        <x:v>223 stories created</x:v>
      </x:c>
      <x:c r="H2" t="str">
        <x:v>US-001, US-002, US-003, US-004, US-005, US-006, US-007, US-008, US-009, US-010, US-011, US-012, US-013, US-014, US-015, US-016, US-017, US-018, US-019, US-020, US-021, US-022, US-023, US-024, US-025, US-026, US-027, US-028, US-029, US-030, US-031, US-032, US-033, US-034, US-035, US-036, US-037, US-038, US-039, US-040, US-041, US-042, US-043, US-044, US-045, US-046, US-047, US-048, US-049, US-050, US-051, US-052, US-053, US-054, US-055, US-056, US-057, US-058, US-059, US-060, US-061, US-062, US-063, US-064, US-065, US-066, US-067, US-068, US-069, US-070, US-071, US-072, US-073, US-074, US-075, US-076, US-077, US-078, US-079, US-080, US-081, US-082, US-083, US-084, US-085, US-086, US-087, US-088, US-089, US-090, US-091, US-092, US-093, US-094, US-095, US-096, US-097, US-098, US-099, US-100, US-101, US-102, US-103, US-104, US-105, US-106, US-107, US-108, US-109, US-110, US-111, US-112, US-113, US-114, US-115, US-116, US-117, US-118, US-119, US-120, US-121, US-122, US-123, US-124, US-125, US-126, US-127, US-128, US-129, US-130, US-131, US-132, US-133, US-134, US-135, US-136, US-137, US-138, US-139, US-140, US-141, US-142, US-143, US-144, US-145, US-146, US-147, US-148, US-149, US-150, US-151, US-152, US-153, US-154, US-155, US-156, US-157, US-158, US-159, US-160, US-161, US-162, US-163, US-164, US-165, US-166, US-167, US-168, US-169, US-170, US-171, US-172, US-173, US-174, US-175, US-176, US-177, US-178, US-179, US-180, US-181, US-182, US-183, US-184, US-185, US-186, US-187, US-188, US-189, US-190, US-191, US-192, US-193, US-194, US-195, US-196, US-197, US-198, US-199, US-200, US-201, US-202, US-203, US-204, US-205, US-206, US-207, US-208, US-209, US-210, US-211, US-212, US-213, US-214, US-215, US-216, US-217, US-218, US-219, US-220, US-221, US-222, US-223</x:v>
      </x:c>
      <x:c r="I2" t="str">
        <x:v>Initial canonical inventory</x:v>
      </x:c>
    </x:row>
    <x:row r="3">
      <x:c r="A3" t="str">
        <x:v>RUN-002</x:v>
      </x:c>
      <x:c r="B3" s="1" t="n">
        <x:v>46196.72345380787</x:v>
      </x:c>
      <x:c r="C3" t="str">
        <x:v>Documentation</x:v>
      </x:c>
      <x:c r="D3" t="str">
        <x:v>Local</x:v>
      </x:c>
      <x:c r="E3" t="str">
        <x:v>npm run docs:check</x:v>
      </x:c>
      <x:c r="F3" t="str">
        <x:v>Passed</x:v>
      </x:c>
      <x:c r="G3" t="str">
        <x:v>142 Markdown files, 38 routes, ADR coverage verified</x:v>
      </x:c>
      <x:c r="H3" t="str">
        <x:v>Cross-cutting</x:v>
      </x:c>
      <x:c r="I3" t="str"/>
    </x:row>
    <x:row r="4">
      <x:c r="A4" t="str">
        <x:v>RUN-003</x:v>
      </x:c>
      <x:c r="B4" s="1" t="n">
        <x:v>46196.72345380787</x:v>
      </x:c>
      <x:c r="C4" t="str">
        <x:v>Lint</x:v>
      </x:c>
      <x:c r="D4" t="str">
        <x:v>Local</x:v>
      </x:c>
      <x:c r="E4" t="str">
        <x:v>npm run lint</x:v>
      </x:c>
      <x:c r="F4" t="str">
        <x:v>Passed</x:v>
      </x:c>
      <x:c r="G4" t="str">
        <x:v>ESLint exited 0</x:v>
      </x:c>
      <x:c r="H4" t="str">
        <x:v>Cross-cutting</x:v>
      </x:c>
      <x:c r="I4" t="str"/>
    </x:row>
    <x:row r="5">
      <x:c r="A5" t="str">
        <x:v>RUN-004</x:v>
      </x:c>
      <x:c r="B5" s="1" t="n">
        <x:v>46196.72345380787</x:v>
      </x:c>
      <x:c r="C5" t="str">
        <x:v>Automated tests</x:v>
      </x:c>
      <x:c r="D5" t="str">
        <x:v>Local</x:v>
      </x:c>
      <x:c r="E5" t="str">
        <x:v>npm test</x:v>
      </x:c>
      <x:c r="F5" t="str">
        <x:v>Passed</x:v>
      </x:c>
      <x:c r="G5" t="str">
        <x:v>108 files passed, 1 skipped; 553 tests passed, 9 skipped</x:v>
      </x:c>
      <x:c r="H5" t="str">
        <x:v>Stories whose baseline evidence names focused tests</x:v>
      </x:c>
      <x:c r="I5" t="str"/>
    </x:row>
    <x:row r="6">
      <x:c r="A6" t="str">
        <x:v>RUN-005</x:v>
      </x:c>
      <x:c r="B6" s="1" t="n">
        <x:v>46196.72345380787</x:v>
      </x:c>
      <x:c r="C6" t="str">
        <x:v>Production build</x:v>
      </x:c>
      <x:c r="D6" t="str">
        <x:v>Local</x:v>
      </x:c>
      <x:c r="E6" t="str">
        <x:v>npm run build</x:v>
      </x:c>
      <x:c r="F6" t="str">
        <x:v>Passed</x:v>
      </x:c>
      <x:c r="G6" t="str">
        <x:v>TypeScript and Vite build exited 0</x:v>
      </x:c>
      <x:c r="H6" t="str">
        <x:v>Cross-cutting</x:v>
      </x:c>
      <x:c r="I6" t="str"/>
    </x:row>
    <x:row r="7">
      <x:c r="A7" t="str">
        <x:v>RUN-006</x:v>
      </x:c>
      <x:c r="B7" s="1" t="n">
        <x:v>46196.72345380787</x:v>
      </x:c>
      <x:c r="C7" t="str">
        <x:v>Public route runtime</x:v>
      </x:c>
      <x:c r="D7" t="str">
        <x:v>Local without Supabase</x:v>
      </x:c>
      <x:c r="E7" t="str">
        <x:v>/login, Portal public routes, unknown route</x:v>
      </x:c>
      <x:c r="F7" t="str">
        <x:v>Blocked</x:v>
      </x:c>
      <x:c r="G7" t="str">
        <x:v>Intentional configuration gate rendered on every route before app bootstrap</x:v>
      </x:c>
      <x:c r="H7" t="str">
        <x:v>Authentication and navigation stories</x:v>
      </x:c>
      <x:c r="I7" t="str">
        <x:v>No database/auth behavior inferred</x:v>
      </x:c>
    </x:row>
    <x:row r="8">
      <x:c r="A8" t="str">
        <x:v>RUN-007</x:v>
      </x:c>
      <x:c r="B8" s="1" t="n">
        <x:v>46196.72345380787</x:v>
      </x:c>
      <x:c r="C8" t="str">
        <x:v>Risk-first repair batch 1</x:v>
      </x:c>
      <x:c r="D8" t="str">
        <x:v>Local unit/component/SQL contracts</x:v>
      </x:c>
      <x:c r="E8" t="str">
        <x:v>Focused Granite, Demurrage reversal, Demurrage atomic creation, and batch billing tests</x:v>
      </x:c>
      <x:c r="F8" t="str">
        <x:v>Passed</x:v>
      </x:c>
      <x:c r="G8" t="str">
        <x:v>Focused regressions passed; TypeScript check exited 0</x:v>
      </x:c>
      <x:c r="H8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8" t="str">
        <x:v>Live Supabase transaction verification remains blocked</x:v>
      </x:c>
    </x:row>
    <x:row r="9">
      <x:c r="A9" t="str">
        <x:v>RUN-008</x:v>
      </x:c>
      <x:c r="B9" s="1" t="n">
        <x:v>46196.72345380787</x:v>
      </x:c>
      <x:c r="C9" t="str">
        <x:v>Batch 1 full gates</x:v>
      </x:c>
      <x:c r="D9" t="str">
        <x:v>Local</x:v>
      </x:c>
      <x:c r="E9" t="str">
        <x:v>npm run docs:check; npm run lint; npm test; npm run build; git diff --check</x:v>
      </x:c>
      <x:c r="F9" t="str">
        <x:v>Passed</x:v>
      </x:c>
      <x:c r="G9" t="str">
        <x:v>144 Markdown files; lint 0; 114 test files passed/1 skipped; 563 tests passed/9 skipped; production build 0; whitespace clean</x:v>
      </x:c>
      <x:c r="H9" t="str">
        <x:v>Cross-cutting and repaired batch stories</x:v>
      </x:c>
      <x:c r="I9" t="str">
        <x:v>Database migrations still require disposable-environment execution</x:v>
      </x:c>
    </x:row>
    <x:row r="10">
      <x:c r="A10" t="str">
        <x:v>RUN-009</x:v>
      </x:c>
      <x:c r="B10" s="1" t="n">
        <x:v>46196.72345380787</x:v>
      </x:c>
      <x:c r="C10" t="str">
        <x:v>Risk-first repair batch 2</x:v>
      </x:c>
      <x:c r="D10" t="str">
        <x:v>Local + full gates</x:v>
      </x:c>
      <x:c r="E10" t="str">
        <x:v>Validation false-success, eligibility, query prefixes, reversal invalidation, ROE source; docs/lint/tests/build</x:v>
      </x:c>
      <x:c r="F10" t="str">
        <x:v>Passed</x:v>
      </x:c>
      <x:c r="G10" t="str">
        <x:v>144 Markdown files; lint 0; 117 test files passed/1 skipped; 568 tests passed/9 skipped; production build 0; whitespace clean</x:v>
      </x:c>
      <x:c r="H10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10" t="str">
        <x:v>Runtime remains blocked without configured Supabase</x:v>
      </x:c>
    </x:row>
    <x:row r="11">
      <x:c r="A11" t="str">
        <x:v>RUN-010</x:v>
      </x:c>
      <x:c r="B11" s="1" t="n">
        <x:v>46196.72345380787</x:v>
      </x:c>
      <x:c r="C11" t="str">
        <x:v>Public authentication runtime</x:v>
      </x:c>
      <x:c r="D11" t="str">
        <x:v>Local app + configured Supabase</x:v>
      </x:c>
      <x:c r="E11" t="str">
        <x:v>Internal login, Portal login, protected-route redirects, forgot/reset-password public states</x:v>
      </x:c>
      <x:c r="F11" t="str">
        <x:v>Passed</x:v>
      </x:c>
      <x:c r="G11" t="str">
        <x:v>Real login forms rendered; synthetic invalid credentials produced generic errors; internal and Portal guards redirected correctly; invalid recovery token was rejected; no browser warnings/errors</x:v>
      </x:c>
      <x:c r="H11" t="str">
        <x:v>US-158</x:v>
      </x:c>
      <x:c r="I11" t="str">
        <x:v>Successful authenticated flows still require controlled test accounts</x:v>
      </x:c>
    </x:row>
    <x:row r="12">
      <x:c r="A12" t="str">
        <x:v>RUN-011</x:v>
      </x:c>
      <x:c r="B12" s="1" t="n">
        <x:v>46196.72345380787</x:v>
      </x:c>
      <x:c r="C12" t="str">
        <x:v>Risk-first repair batch 3</x:v>
      </x:c>
      <x:c r="D12" t="str">
        <x:v>Local component/service tests</x:v>
      </x:c>
      <x:c r="E12" t="str">
        <x:v>Portal profile error, schedule propagation, Demurrage status tabs, vessel upload limit</x:v>
      </x:c>
      <x:c r="F12" t="str">
        <x:v>Passed</x:v>
      </x:c>
      <x:c r="G12" t="str">
        <x:v>4 focused test files passed; TypeScript and lint exited 0</x:v>
      </x:c>
      <x:c r="H12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12" t="str">
        <x:v>Full gates pending after the next bounded repair group</x:v>
      </x:c>
    </x:row>
    <x:row r="13">
      <x:c r="A13" t="str">
        <x:v>RUN-012</x:v>
      </x:c>
      <x:c r="B13" s="1" t="n">
        <x:v>46196.72345380787</x:v>
      </x:c>
      <x:c r="C13" t="str">
        <x:v>UX/navigation repair batch + full gates</x:v>
      </x:c>
      <x:c r="D13" t="str">
        <x:v>Local unit/component/content contracts</x:v>
      </x:c>
      <x:c r="E13" t="str">
        <x:v>Voyage context, legacy redirect, notification links, reconciliation filter, schedule/report copy; docs/lint/tests/build</x:v>
      </x:c>
      <x:c r="F13" t="str">
        <x:v>Passed</x:v>
      </x:c>
      <x:c r="G13" t="str">
        <x:v>144 Markdown files; lint 0; 126 test files passed/1 skipped; 578 tests passed/9 skipped; production build 0; whitespace clean</x:v>
      </x:c>
      <x:c r="H13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13" t="str">
        <x:v>Authenticated runtime and live migration verification still require controlled accounts/environment</x:v>
      </x:c>
    </x:row>
    <x:row r="14">
      <x:c r="A14" t="str">
        <x:v>RUN-013</x:v>
      </x:c>
      <x:c r="B14" s="1" t="n">
        <x:v>46196.72345380787</x:v>
      </x:c>
      <x:c r="C14" t="str">
        <x:v>Customer audit + Baplie cache repair batch</x:v>
      </x:c>
      <x:c r="D14" t="str">
        <x:v>Local unit/SQL contracts</x:v>
      </x:c>
      <x:c r="E14" t="str">
        <x:v>Atomic customer edit/audit and dependent Baplie cache invalidation</x:v>
      </x:c>
      <x:c r="F14" t="str">
        <x:v>Passed</x:v>
      </x:c>
      <x:c r="G14" t="str">
        <x:v>4 focused test files passed; 15 assertions; docs check and production build exited 0</x:v>
      </x:c>
      <x:c r="H14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14" t="str">
        <x:v>Live RPC execution remains blocked without a controlled authenticated account and applied migration</x:v>
      </x:c>
    </x:row>
    <x:row r="15">
      <x:c r="A15" t="str">
        <x:v>RUN-014</x:v>
      </x:c>
      <x:c r="B15" s="1" t="n">
        <x:v>46196.72345380787</x:v>
      </x:c>
      <x:c r="C15" t="str">
        <x:v>PIX visibility + UX feedback repair batch</x:v>
      </x:c>
      <x:c r="D15" t="str">
        <x:v>Local full gates + authenticated read-only runtime</x:v>
      </x:c>
      <x:c r="E15" t="str">
        <x:v>Unmatched PIX, audit author filter, migration guidance, schedule export error states</x:v>
      </x:c>
      <x:c r="F15" t="str">
        <x:v>Passed</x:v>
      </x:c>
      <x:c r="G15" t="str">
        <x:v>144 Markdown files; lint 0; 128 test files passed/1 skipped; 583 tests passed/9 skipped; production build 0; whitespace clean; /reconciliacao rendered for authenticated admin with no console warnings/errors</x:v>
      </x:c>
      <x:c r="H15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15" t="str">
        <x:v>File-upload interaction and all database writes remain unexecuted against the shared Supabase project</x:v>
      </x:c>
    </x:row>
    <x:row r="16">
      <x:c r="A16" t="str">
        <x:v>RUN-015</x:v>
      </x:c>
      <x:c r="B16" s="1" t="n">
        <x:v>46196.72345380787</x:v>
      </x:c>
      <x:c r="C16" t="str">
        <x:v>Atomic schedule + Granite + Baplie repair batch</x:v>
      </x:c>
      <x:c r="D16" t="str">
        <x:v>Local focused tests</x:v>
      </x:c>
      <x:c r="E16" t="str">
        <x:v>Schedule archive/reorder, Granite import/classification/detail, Baplie authorization</x:v>
      </x:c>
      <x:c r="F16" t="str">
        <x:v>Passed</x:v>
      </x:c>
      <x:c r="G16" t="str">
        <x:v>Focused regressions and production builds passed</x:v>
      </x:c>
      <x:c r="H16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16" t="str">
        <x:v>Live database writes intentionally not executed against the shared project</x:v>
      </x:c>
    </x:row>
    <x:row r="17">
      <x:c r="A17" t="str">
        <x:v>RUN-016</x:v>
      </x:c>
      <x:c r="B17" s="1" t="n">
        <x:v>46196.72345380787</x:v>
      </x:c>
      <x:c r="C17" t="str">
        <x:v>Final UX/logistics repair + full gates</x:v>
      </x:c>
      <x:c r="D17" t="str">
        <x:v>Local full gates</x:v>
      </x:c>
      <x:c r="E17" t="str">
        <x:v>Customer export, override filtering, audited container dates, ATA propagation; docs/lint/tests/build</x:v>
      </x:c>
      <x:c r="F17" t="str">
        <x:v>Passed</x:v>
      </x:c>
      <x:c r="G17" t="str">
        <x:v>144 Markdown files; lint 0; 133 test files passed/1 skipped; 596 tests passed/9 skipped; production build 0</x:v>
      </x:c>
      <x:c r="H17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17" t="str">
        <x:v>Authenticated read-only browser regression recorded separately; migrations require deployment before live write verification</x:v>
      </x:c>
    </x:row>
    <x:row r="18">
      <x:c r="A18" t="str">
        <x:v>RUN-017</x:v>
      </x:c>
      <x:c r="B18" s="1" t="n">
        <x:v>46196.72345380787</x:v>
      </x:c>
      <x:c r="C18" t="str">
        <x:v>Authenticated post-fix UI regression</x:v>
      </x:c>
      <x:c r="D18" t="str">
        <x:v>Configured shared Supabase; read-only</x:v>
      </x:c>
      <x:c r="E18" t="str">
        <x:v>/clientes, /taxas-locais, /demurrage, /baplie, /chegadas-saidas, /faturamento</x:v>
      </x:c>
      <x:c r="F18" t="str">
        <x:v>Passed</x:v>
      </x:c>
      <x:c r="G18" t="str">
        <x:v>All routes rendered for admin Lucca Juliatti; expected controls/tables present; no browser warnings, errors, or alert states</x:v>
      </x:c>
      <x:c r="H18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18" t="str">
        <x:v>Selected one Baplie voyage in local UI state only; no write, upload, export, mutation, or confirmation action executed</x:v>
      </x:c>
    </x:row>
    <x:row r="19">
      <x:c r="A19" t="str">
        <x:v>RUN-018</x:v>
      </x:c>
      <x:c r="B19" s="1" t="n">
        <x:v>46196.72345380787</x:v>
      </x:c>
      <x:c r="C19" t="str">
        <x:v>Clean migration replay</x:v>
      </x:c>
      <x:c r="D19" t="str">
        <x:v>Disposable PostgreSQL 17.10</x:v>
      </x:c>
      <x:c r="E19" t="str">
        <x:v>Apply every migration from an empty database</x:v>
      </x:c>
      <x:c r="F19" t="str">
        <x:v>Passed</x:v>
      </x:c>
      <x:c r="G19" t="str">
        <x:v>142/142 migrations applied successfully</x:v>
      </x:c>
      <x:c r="H19" t="str">
        <x:v>Database-backed stories</x:v>
      </x:c>
      <x:c r="I19" t="str">
        <x:v>pg_cron replaced only by a local test stub; shared Supabase untouched</x:v>
      </x:c>
    </x:row>
    <x:row r="20">
      <x:c r="A20" t="str">
        <x:v>RUN-019</x:v>
      </x:c>
      <x:c r="B20" s="1" t="n">
        <x:v>46196.72345380787</x:v>
      </x:c>
      <x:c r="C20" t="str">
        <x:v>Transactional write-path validation</x:v>
      </x:c>
      <x:c r="D20" t="str">
        <x:v>Disposable PostgreSQL 17.10; fixtures rolled back</x:v>
      </x:c>
      <x:c r="E20" t="str">
        <x:v>Customer audit, vessel reorder/archive, Granite import/classification, ATA and container-date propagation</x:v>
      </x:c>
      <x:c r="F20" t="str">
        <x:v>Passed</x:v>
      </x:c>
      <x:c r="G20" t="str">
        <x:v>7/7 write checks passed; 0 failed</x:v>
      </x:c>
      <x:c r="H20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20" t="str">
        <x:v>All fixtures rolled back</x:v>
      </x:c>
    </x:row>
    <x:row r="21">
      <x:c r="A21" t="str">
        <x:v>RUN-020</x:v>
      </x:c>
      <x:c r="B21" s="1" t="n">
        <x:v>46196.72345380787</x:v>
      </x:c>
      <x:c r="C21" t="str">
        <x:v>Supabase project integration suite</x:v>
      </x:c>
      <x:c r="D21" t="str">
        <x:v>Disposable PostgreSQL 17.10 + local Supabase shim</x:v>
      </x:c>
      <x:c r="E21" t="str">
        <x:v>npm run test:integration</x:v>
      </x:c>
      <x:c r="F21" t="str">
        <x:v>Passed</x:v>
      </x:c>
      <x:c r="G21" t="str">
        <x:v>1 file; 9/9 integration tests passed</x:v>
      </x:c>
      <x:c r="H21" t="str">
        <x:v>US-222, US-166, US-175, US-011, US-130, US-183, US-021, US-039, US-001, US-008, US-114, US-084, US-085, US-087, US-115, US-191, US-022, US-044, US-038, US-032, US-019, US-198, US-005, US-004, US-007, US-009, US-083, US-076, US-109, US-063, US-095, US-071, US-015, US-017, US-029, US-189, US-187, US-188, US-108, US-097, US-106, US-117, US-119, US-143, US-136, US-137, US-134, US-148, US-149</x:v>
      </x:c>
      <x:c r="I21" t="str">
        <x:v>Admin and operator identities; no shared-project mutations</x:v>
      </x:c>
    </x:row>
    <x:row r="22">
      <x:c r="A22" t="str">
        <x:v>RUN-021</x:v>
      </x:c>
      <x:c r="B22" s="1" t="n">
        <x:v>46196.72345380787</x:v>
      </x:c>
      <x:c r="C22" t="str">
        <x:v>Final post-repair gates</x:v>
      </x:c>
      <x:c r="D22" t="str">
        <x:v>Local; bounded Vitest workers</x:v>
      </x:c>
      <x:c r="E22" t="str">
        <x:v>npm run docs:check; npm run lint; npm test -- --maxWorkers=4; npm run build; git diff --check</x:v>
      </x:c>
      <x:c r="F22" t="str">
        <x:v>Passed</x:v>
      </x:c>
      <x:c r="G22" t="str">
        <x:v>145 Markdown files; lint 0; 136 test files passed/1 skipped; 598 tests passed/9 skipped; production build 0; whitespace clean</x:v>
      </x:c>
      <x:c r="H22" t="str">
        <x:v>Cross-cutting and all repaired stories</x:v>
      </x:c>
      <x:c r="I22" t="str">
        <x:v>Vitest workers bounded to avoid environment process-start timeouts</x:v>
      </x:c>
    </x:row>
    <x:row r="23">
      <x:c r="A23" t="str">
        <x:v>RUN-022</x:v>
      </x:c>
      <x:c r="B23" s="1" t="n">
        <x:v>46196.72345380787</x:v>
      </x:c>
      <x:c r="C23" t="str">
        <x:v>Chegadas e Saidas complete behavior batch</x:v>
      </x:c>
      <x:c r="D23" t="str">
        <x:v>Local component + SQL contracts</x:v>
      </x:c>
      <x:c r="E23" t="str">
        <x:v>ChegadasSaidas.behavior, ShipScheduleWidget, vesselScheduleAdmin</x:v>
      </x:c>
      <x:c r="F23" t="str">
        <x:v>Passed</x:v>
      </x:c>
      <x:c r="G23" t="str">
        <x:v>3 files; 11/11 tests passed</x:v>
      </x:c>
      <x:c r="H23" t="str">
        <x:v>US-002, US-003, US-004, US-005, US-006, US-010, US-012</x:v>
      </x:c>
      <x:c r="I23" t="str">
        <x:v>Caught and repaired UI regression that bypassed atomic reorder/archive services</x:v>
      </x:c>
    </x:row>
    <x:row r="24">
      <x:c r="A24" t="str">
        <x:v>RUN-023</x:v>
      </x:c>
      <x:c r="B24" s="1" t="n">
        <x:v>46196.72345380787</x:v>
      </x:c>
      <x:c r="C24" t="str">
        <x:v>Clientes complete behavior batch</x:v>
      </x:c>
      <x:c r="D24" t="str">
        <x:v>Local component + hook + PostgreSQL 17 replay</x:v>
      </x:c>
      <x:c r="E24" t="str">
        <x:v>ClienteFicha.behavior, customerCreateAtomic, useRowSelection</x:v>
      </x:c>
      <x:c r="F24" t="str">
        <x:v>Passed</x:v>
      </x:c>
      <x:c r="G24" t="str">
        <x:v>3 files; 10/10 tests passed; 143/143 migrations applied</x:v>
      </x:c>
      <x:c r="H24" t="str">
        <x:v>US-015, US-017, US-023, US-024, US-029</x:v>
      </x:c>
      <x:c r="I24" t="str">
        <x:v>Fixed selection scope, atomic creation and distinct not-found state</x:v>
      </x:c>
    </x:row>
    <x:row r="25">
      <x:c r="A25" t="str">
        <x:v>RUN-024</x:v>
      </x:c>
      <x:c r="B25" s="1" t="n">
        <x:v>46196.72345380787</x:v>
      </x:c>
      <x:c r="C25" t="str">
        <x:v>Faturamento evidence batch 1</x:v>
      </x:c>
      <x:c r="D25" t="str">
        <x:v>Local component/service/SQL + disposable integration evidence</x:v>
      </x:c>
      <x:c r="E25" t="str">
        <x:v>Billing, ledger, atomic batch/single, manual charges and consolidated breakdown</x:v>
      </x:c>
      <x:c r="F25" t="str">
        <x:v>Passed</x:v>
      </x:c>
      <x:c r="G25" t="str">
        <x:v>8 files; 65/65 focused tests passed</x:v>
      </x:c>
      <x:c r="H25" t="str">
        <x:v>US-058, US-062, US-064, US-069</x:v>
      </x:c>
      <x:c r="I25" t="str">
        <x:v>Only stories with direct behavioral or transactional evidence were promoted</x:v>
      </x:c>
    </x:row>
    <x:row r="26">
      <x:c r="A26" t="str">
        <x:v>RUN-025</x:v>
      </x:c>
      <x:c r="B26" s="1" t="n">
        <x:v>46196.72345380787</x:v>
      </x:c>
      <x:c r="C26" t="str">
        <x:v>Faturamento complete behavior batch</x:v>
      </x:c>
      <x:c r="D26" t="str">
        <x:v>Local page/component/service behavior</x:v>
      </x:c>
      <x:c r="E26" t="str">
        <x:v>URL detail, overdue telemetry, local/Granite batches, print and reconciliation history</x:v>
      </x:c>
      <x:c r="F26" t="str">
        <x:v>Passed</x:v>
      </x:c>
      <x:c r="G26" t="str">
        <x:v>5 files; 17/17 tests passed</x:v>
      </x:c>
      <x:c r="H26" t="str">
        <x:v>US-057, US-059, US-060, US-061, US-073, US-074</x:v>
      </x:c>
      <x:c r="I26" t="str">
        <x:v>Caught and repaired duplicate Granite review logic that still reported false success in the page</x:v>
      </x:c>
    </x:row>
    <x:row r="27">
      <x:c r="A27" t="str">
        <x:v>RUN-026</x:v>
      </x:c>
      <x:c r="B27" s="1" t="n">
        <x:v>46196.72345380787</x:v>
      </x:c>
      <x:c r="C27" t="str">
        <x:v>Taxas Locais complete behavior batch</x:v>
      </x:c>
      <x:c r="D27" t="str">
        <x:v>Local component/service/SQL contracts</x:v>
      </x:c>
      <x:c r="E27" t="str">
        <x:v>Tables, items, overrides, authorization tab, cache prefixes and operational charge transitions</x:v>
      </x:c>
      <x:c r="F27" t="str">
        <x:v>Passed</x:v>
      </x:c>
      <x:c r="G27" t="str">
        <x:v>9 files; 37/37 tests passed</x:v>
      </x:c>
      <x:c r="H27" t="str">
        <x:v>Taxas Locais module</x:v>
      </x:c>
      <x:c r="I27" t="str">
        <x:v>Fixed override pagination and empty authorized-tab UX</x:v>
      </x:c>
    </x:row>
    <x:row r="28">
      <x:c r="A28" t="str">
        <x:v>RUN-027</x:v>
      </x:c>
      <x:c r="B28" s="1" t="n">
        <x:v>46196.72345380787</x:v>
      </x:c>
      <x:c r="C28" t="str">
        <x:v>Reconciliation PIX complete behavior batch</x:v>
      </x:c>
      <x:c r="D28" t="str">
        <x:v>Local page/component/service/SQL contracts</x:v>
      </x:c>
      <x:c r="E28" t="str">
        <x:v>Upload, parser, matching, confirmation, history, export, details and reversals</x:v>
      </x:c>
      <x:c r="F28" t="str">
        <x:v>Passed</x:v>
      </x:c>
      <x:c r="G28" t="str">
        <x:v>14 files; 49/49 tests passed</x:v>
      </x:c>
      <x:c r="H28" t="str">
        <x:v>Reconciliation PIX module</x:v>
      </x:c>
      <x:c r="I28" t="str">
        <x:v>Repaired unmatched visibility, payment identity, complete history pagination, export feedback and reversal invalidation</x:v>
      </x:c>
    </x:row>
    <x:row r="29">
      <x:c r="A29" t="str">
        <x:v>RUN-028</x:v>
      </x:c>
      <x:c r="B29" s="1" t="n">
        <x:v>46196.72345380787</x:v>
      </x:c>
      <x:c r="C29" t="str">
        <x:v>Manifestos EDI atomic BB batch</x:v>
      </x:c>
      <x:c r="D29" t="str">
        <x:v>Local service/SQL + disposable PostgreSQL 17</x:v>
      </x:c>
      <x:c r="E29" t="str">
        <x:v>Breakbulk parser/import contract, migration replay and rollback/success write path</x:v>
      </x:c>
      <x:c r="F29" t="str">
        <x:v>Passed</x:v>
      </x:c>
      <x:c r="G29" t="str">
        <x:v>11/11 focused tests; 144/144 migrations; 8/8 transactional checks</x:v>
      </x:c>
      <x:c r="H29" t="str">
        <x:v>Carga Solta import story</x:v>
      </x:c>
      <x:c r="I29" t="str">
        <x:v>Moved central BB persistence into one transaction; post-commit charge calculation remains best-effort</x:v>
      </x:c>
    </x:row>
    <x:row r="30">
      <x:c r="A30" t="str">
        <x:v>RUN-029</x:v>
      </x:c>
      <x:c r="B30" s="1" t="n">
        <x:v>46196.72345380787</x:v>
      </x:c>
      <x:c r="C30" t="str">
        <x:v>Manifestos EDI atomic operations batch</x:v>
      </x:c>
      <x:c r="D30" t="str">
        <x:v>Local service/SQL + disposable PostgreSQL 17</x:v>
      </x:c>
      <x:c r="E30" t="str">
        <x:v>CE Master, Demurrage config, empty-container manifests and booking imports</x:v>
      </x:c>
      <x:c r="F30" t="str">
        <x:v>Passed</x:v>
      </x:c>
      <x:c r="G30" t="str">
        <x:v>4 files; 13/13 tests passed; TypeScript no-emit check passed; 147/147 migrations replayed</x:v>
      </x:c>
      <x:c r="H30" t="str">
        <x:v>US-097, US-106, US-117, US-119</x:v>
      </x:c>
      <x:c r="I30" t="str">
        <x:v>Shared Supabase remained read-only</x:v>
      </x:c>
    </x:row>
    <x:row r="31">
      <x:c r="A31" t="str">
        <x:v>RUN-030</x:v>
      </x:c>
      <x:c r="B31" s="1" t="n">
        <x:v>46196.72345380787</x:v>
      </x:c>
      <x:c r="C31" t="str">
        <x:v>Manifestos EDI final behavior batch</x:v>
      </x:c>
      <x:c r="D31" t="str">
        <x:v>Local component/page behavior</x:v>
      </x:c>
      <x:c r="E31" t="str">
        <x:v>Manifest list filtering/pagination/selection/open and B/L invoice/history behavior</x:v>
      </x:c>
      <x:c r="F31" t="str">
        <x:v>Passed</x:v>
      </x:c>
      <x:c r="G31" t="str">
        <x:v>2 files; 3/3 tests passed with one bounded worker</x:v>
      </x:c>
      <x:c r="H31" t="str">
        <x:v>US-093, US-107</x:v>
      </x:c>
      <x:c r="I31" t="str">
        <x:v>Manifestos EDI now has direct evidence for every story</x:v>
      </x:c>
    </x:row>
    <x:row r="32">
      <x:c r="A32" t="str">
        <x:v>RUN-031</x:v>
      </x:c>
      <x:c r="B32" s="1" t="n">
        <x:v>46196.72345380787</x:v>
      </x:c>
      <x:c r="C32" t="str">
        <x:v>Operacao/Suporte service repair batch</x:v>
      </x:c>
      <x:c r="D32" t="str">
        <x:v>Local service/page behavior + TypeScript no-emit</x:v>
      </x:c>
      <x:c r="E32" t="str">
        <x:v>Painel Line-Up export feedback, alert acknowledge/close stale-state guard, Granite review RPC atomicity, admin audit-log and metrics error propagation</x:v>
      </x:c>
      <x:c r="F32" t="str">
        <x:v>Passed</x:v>
      </x:c>
      <x:c r="G32" t="str">
        <x:v>4 files; 8/8 tests passed; tsc -p tsconfig.app.json --noEmit exited 0</x:v>
      </x:c>
      <x:c r="H32" t="str">
        <x:v>US-134, US-136, US-137, US-143, US-148, US-149</x:v>
      </x:c>
      <x:c r="I32" t="str">
        <x:v>Granite migration 20260623120000 replayed separately in RUN-032; live Supabase remained read-only</x:v>
      </x:c>
    </x:row>
    <x:row r="33">
      <x:c r="A33" t="str">
        <x:v>RUN-032</x:v>
      </x:c>
      <x:c r="B33" s="1" t="n">
        <x:v>46196.72345380787</x:v>
      </x:c>
      <x:c r="C33" t="str">
        <x:v>Clean migration replay (Granite)</x:v>
      </x:c>
      <x:c r="D33" t="str">
        <x:v>Disposable PostgreSQL 17 embedded cluster</x:v>
      </x:c>
      <x:c r="E33" t="str">
        <x:v>Apply every migration from an empty database including save_granite_bl_review_atomic</x:v>
      </x:c>
      <x:c r="F33" t="str">
        <x:v>Passed</x:v>
      </x:c>
      <x:c r="G33" t="str">
        <x:v>148/148 migrations applied; failedMigration null</x:v>
      </x:c>
      <x:c r="H33" t="str">
        <x:v>US-134</x:v>
      </x:c>
      <x:c r="I33" t="str">
        <x:v>pg_cron replaced by a test-only stub; shared Supabase untouched</x:v>
      </x:c>
    </x:row>
    <x:row r="34">
      <x:c r="A34" t="str">
        <x:v>RUN-033</x:v>
      </x:c>
      <x:c r="B34" s="1" t="n">
        <x:v>46196.72345380787</x:v>
      </x:c>
      <x:c r="C34" t="str">
        <x:v>Painel behavior batch</x:v>
      </x:c>
      <x:c r="D34" t="str">
        <x:v>Local component behavior (jsdom)</x:v>
      </x:c>
      <x:c r="E34" t="str">
        <x:v>Dashboard KPI rendering/links, Line-Up snapshot + last-updated, status filtering, header shortcuts</x:v>
      </x:c>
      <x:c r="F34" t="str">
        <x:v>Passed</x:v>
      </x:c>
      <x:c r="G34" t="str">
        <x:v>1 file; 5/5 tests passed</x:v>
      </x:c>
      <x:c r="H34" t="str">
        <x:v>US-120, US-121, US-122, US-123</x:v>
      </x:c>
      <x:c r="I34" t="str">
        <x:v>Mocked react-query/xlsx; afterEach cleanup added to avoid cross-test DOM accumulation</x:v>
      </x:c>
    </x:row>
    <x:row r="35">
      <x:c r="A35" t="str">
        <x:v>RUN-034</x:v>
      </x:c>
      <x:c r="B35" s="1" t="n">
        <x:v>46196.72345380787</x:v>
      </x:c>
      <x:c r="C35" t="str">
        <x:v>Operacao/Suporte completion behavior batch</x:v>
      </x:c>
      <x:c r="D35" t="str">
        <x:v>Local component behavior (jsdom)</x:v>
      </x:c>
      <x:c r="E35" t="str">
        <x:v>Admin user list/role/active, alert list/filter/entity links, operational+demurrage reports, /line-up-tv redirect + TV board states, drawer create-customer</x:v>
      </x:c>
      <x:c r="F35" t="str">
        <x:v>Passed</x:v>
      </x:c>
      <x:c r="G35" t="str">
        <x:v>5 files; 18/18 tests passed</x:v>
      </x:c>
      <x:c r="H35" t="str">
        <x:v>US-126, US-135, US-138, US-139, US-142, US-144, US-145, US-146, US-147</x:v>
      </x:c>
      <x:c r="I35" t="str">
        <x:v>Closes operacao-suporte: every story now has direct evidence</x:v>
      </x:c>
    </x:row>
    <x:row r="36">
      <x:c r="A36" t="str">
        <x:v>RUN-035</x:v>
      </x:c>
      <x:c r="B36" s="1" t="n">
        <x:v>46196.72345380787</x:v>
      </x:c>
      <x:c r="C36" t="str">
        <x:v>Viagens completion batch</x:v>
      </x:c>
      <x:c r="D36" t="str">
        <x:v>Local service/component/pure tests + existing suites</x:v>
      </x:c>
      <x:c r="E36" t="str">
        <x:v>Voyage form normalization/validation, delete-voyage guard, POD-delete audit event, timeline builder, rail selection, invalid-id page state, voyage-scoped imports; plus existing filter/schedule/reconciliation suites</x:v>
      </x:c>
      <x:c r="F36" t="str">
        <x:v>Passed</x:v>
      </x:c>
      <x:c r="G36" t="str">
        <x:v>New: 5 files; existing rerun: 5 files; 90+ tests passed</x:v>
      </x:c>
      <x:c r="H36" t="str">
        <x:v>US-211 through US-223</x:v>
      </x:c>
      <x:c r="I36" t="str">
        <x:v>Closes viagens: every story now has direct evidence (US-221 via existing reconcileBaplieWithManifest tests)</x:v>
      </x:c>
    </x:row>
    <x:row r="37">
      <x:c r="A37" t="str">
        <x:v>RUN-036</x:v>
      </x:c>
      <x:c r="B37" s="1" t="n">
        <x:v>46196.72345380787</x:v>
      </x:c>
      <x:c r="C37" t="str">
        <x:v>Portal-cliente completion batch</x:v>
      </x:c>
      <x:c r="D37" t="str">
        <x:v>Local service/hook/component tests (jsdom) + existing suites</x:v>
      </x:c>
      <x:c r="E37" t="str">
        <x:v>Session hydration, password recovery (request/establish/update), notifications count/list/mark-read, demurrage dispute, undo consolidation, profile update, BLs/containers export; plus existing auth/schedule/operacao suites</x:v>
      </x:c>
      <x:c r="F37" t="str">
        <x:v>Passed</x:v>
      </x:c>
      <x:c r="G37" t="str">
        <x:v>New: 4 files (19 tests) + extended PortalOperacao; existing rerun: 16 files</x:v>
      </x:c>
      <x:c r="H37" t="str">
        <x:v>US-152, US-153, US-155, US-156, US-157, US-160, US-167, US-168, US-172, US-173, US-174, US-176</x:v>
      </x:c>
      <x:c r="I37" t="str">
        <x:v>Closes portal-cliente: every story now has direct evidence</x:v>
      </x:c>
    </x:row>
    <x:row r="38">
      <x:c r="A38" t="str">
        <x:v>RUN-038</x:v>
      </x:c>
      <x:c r="B38" s="1" t="n">
        <x:v>46196.72345380787</x:v>
      </x:c>
      <x:c r="C38" t="str">
        <x:v>Demurrage completion batch</x:v>
      </x:c>
      <x:c r="D38" t="str">
        <x:v>Local service/page/component tests (jsdom) + existing suites</x:v>
      </x:c>
      <x:c r="E38" t="str">
        <x:v>Container tracking, KPIs, invoice issue/unissue/mark-paid/cancel/dispute/detail, tariff CRUD, printable invoice+receipt; plus existing config-atomic/calculate/KPI suites</x:v>
      </x:c>
      <x:c r="F38" t="str">
        <x:v>Passed</x:v>
      </x:c>
      <x:c r="G38" t="str">
        <x:v>New: 3 files (15 tests); existing rerun: 8 files</x:v>
      </x:c>
      <x:c r="H38" t="str">
        <x:v>US-030, US-031, US-035, US-036, US-040, US-041, US-042, US-043, US-045, US-047, US-048, US-051, US-052, US-053, US-054</x:v>
      </x:c>
      <x:c r="I38" t="str">
        <x:v>Closes demurrage: all 11 modules now have direct evidence</x:v>
      </x:c>
    </x:row>
    <x:row r="39">
      <x:c r="A39" t="str">
        <x:v>RUN-039</x:v>
      </x:c>
      <x:c r="B39" s="1" t="n">
        <x:v>46196.72345380787</x:v>
      </x:c>
      <x:c r="C39" t="str">
        <x:v>Final completion gates</x:v>
      </x:c>
      <x:c r="D39" t="str">
        <x:v>Local; bounded Vitest workers</x:v>
      </x:c>
      <x:c r="E39" t="str">
        <x:v>npm test; npm run lint; npm run docs:check; tsc -b &amp;&amp; vite build; git diff --check</x:v>
      </x:c>
      <x:c r="F39" t="str">
        <x:v>Passed</x:v>
      </x:c>
      <x:c r="G39" t="str">
        <x:v>179 test files / 729 tests passed, 9 skipped; ESLint 0; 145 Markdown files / 38 routes verified; production build exited 0; whitespace clean</x:v>
      </x:c>
      <x:c r="H39" t="str">
        <x:v>Cross-cutting and all repaired/promoted stories</x:v>
      </x:c>
      <x:c r="I39" t="str">
        <x:v>223/223 stories Passed; 62 defects fixed / 0 open; shared Supabase remained read-only</x:v>
      </x:c>
    </x:row>
    <x:row r="40">
      <x:c r="A40" t="str">
        <x:v>RUN-037</x:v>
      </x:c>
      <x:c r="B40" s="1" t="n">
        <x:v>46196.72345380787</x:v>
      </x:c>
      <x:c r="C40" t="str">
        <x:v>Granito completion batch</x:v>
      </x:c>
      <x:c r="D40" t="str">
        <x:v>Local service/component tests (jsdom + xlsx) + existing suites</x:v>
      </x:c>
      <x:c r="E40" t="str">
        <x:v>COSCO parser, charges/rates CRUD, BL list/pagination, import modal + preview reconciliation/pending alert, invoice cancel; plus existing import-atomic/invoice-detail suites</x:v>
      </x:c>
      <x:c r="F40" t="str">
        <x:v>Passed</x:v>
      </x:c>
      <x:c r="G40" t="str">
        <x:v>New: 4 files (15 tests); existing rerun: 6 files</x:v>
      </x:c>
      <x:c r="H40" t="str">
        <x:v>US-075, US-077, US-078, US-079, US-080, US-081, US-082, US-086, US-088, US-089, US-090, US-091, US-092</x:v>
      </x:c>
      <x:c r="I40" t="str">
        <x:v>Closes granito: every story now has direct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89f4cb10641e4f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4" t="str">
        <x:v>Initial Test Status</x:v>
      </x:c>
      <x:c r="B1" s="5" t="str">
        <x:v>Fix Status</x:v>
      </x:c>
      <x:c r="C1" s="5" t="str">
        <x:v>Post-fix Retest</x:v>
      </x:c>
      <x:c r="D1" s="5" t="str">
        <x:v>Final Status</x:v>
      </x:c>
      <x:c r="E1" s="5" t="str">
        <x:v>Severity</x:v>
      </x:c>
      <x:c r="F1" s="6" t="str">
        <x:v>Defect Status</x:v>
      </x:c>
    </x:row>
    <x:row r="2">
      <x:c r="A2" s="7" t="str">
        <x:v>Not Tested</x:v>
      </x:c>
      <x:c r="B2" s="8" t="str">
        <x:v>Not Needed</x:v>
      </x:c>
      <x:c r="C2" s="8" t="str">
        <x:v>Not Tested</x:v>
      </x:c>
      <x:c r="D2" s="8" t="str">
        <x:v>Inventory</x:v>
      </x:c>
      <x:c r="E2" s="8" t="str">
        <x:v>Low</x:v>
      </x:c>
      <x:c r="F2" s="9" t="str">
        <x:v>Open</x:v>
      </x:c>
    </x:row>
    <x:row r="3">
      <x:c r="A3" s="7" t="str">
        <x:v>In Progress</x:v>
      </x:c>
      <x:c r="B3" s="8" t="str">
        <x:v>Planned</x:v>
      </x:c>
      <x:c r="C3" s="8" t="str">
        <x:v>In Progress</x:v>
      </x:c>
      <x:c r="D3" s="8" t="str">
        <x:v>Testing</x:v>
      </x:c>
      <x:c r="E3" s="8" t="str">
        <x:v>Medium</x:v>
      </x:c>
      <x:c r="F3" s="9" t="str">
        <x:v>Investigating</x:v>
      </x:c>
    </x:row>
    <x:row r="4">
      <x:c r="A4" s="7" t="str">
        <x:v>Passed</x:v>
      </x:c>
      <x:c r="B4" s="8" t="str">
        <x:v>In Progress</x:v>
      </x:c>
      <x:c r="C4" s="8" t="str">
        <x:v>Passed</x:v>
      </x:c>
      <x:c r="D4" s="8" t="str">
        <x:v>Passed</x:v>
      </x:c>
      <x:c r="E4" s="8" t="str">
        <x:v>High</x:v>
      </x:c>
      <x:c r="F4" s="9" t="str">
        <x:v>Fixing</x:v>
      </x:c>
    </x:row>
    <x:row r="5">
      <x:c r="A5" s="7" t="str">
        <x:v>Failed</x:v>
      </x:c>
      <x:c r="B5" s="8" t="str">
        <x:v>Fixed</x:v>
      </x:c>
      <x:c r="C5" s="8" t="str">
        <x:v>Failed</x:v>
      </x:c>
      <x:c r="D5" s="8" t="str">
        <x:v>Failed</x:v>
      </x:c>
      <x:c r="E5" s="8" t="str">
        <x:v>Critical</x:v>
      </x:c>
      <x:c r="F5" s="9" t="str">
        <x:v>Fixed</x:v>
      </x:c>
    </x:row>
    <x:row r="6">
      <x:c r="A6" s="7" t="str">
        <x:v>Blocked</x:v>
      </x:c>
      <x:c r="B6" s="8" t="str">
        <x:v>Won't Fix</x:v>
      </x:c>
      <x:c r="C6" s="8" t="str">
        <x:v>Blocked</x:v>
      </x:c>
      <x:c r="D6" s="8" t="str">
        <x:v>Blocked</x:v>
      </x:c>
      <x:c r="E6" s="8" t="str"/>
      <x:c r="F6" s="9" t="str">
        <x:v>Retest</x:v>
      </x:c>
    </x:row>
    <x:row r="7">
      <x:c r="A7" s="7" t="str">
        <x:v>Not Applicable</x:v>
      </x:c>
      <x:c r="B7" s="8" t="str">
        <x:v>Blocked</x:v>
      </x:c>
      <x:c r="C7" s="8" t="str">
        <x:v>Not Applicable</x:v>
      </x:c>
      <x:c r="D7" s="8" t="str">
        <x:v>Excluded</x:v>
      </x:c>
      <x:c r="E7" s="8" t="str"/>
      <x:c r="F7" s="9" t="str">
        <x:v>Closed</x:v>
      </x:c>
    </x:row>
    <x:row r="8">
      <x:c r="A8" s="10" t="str"/>
      <x:c r="B8" s="11" t="str"/>
      <x:c r="C8" s="11" t="str"/>
      <x:c r="D8" s="11" t="str"/>
      <x:c r="E8" s="11" t="str"/>
      <x:c r="F8" s="12" t="str"/>
    </x:row>
  </x:sheetData>
  <x:pageMargins left="0.7" right="0.7" top="0.75" bottom="0.75" header="0.3" footer="0.3"/>
</x:worksheet>
</file>